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pivotTables/pivotTable7.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A23174CE-6C6C-4B8C-B1AD-BF1419A90A72}" xr6:coauthVersionLast="47" xr6:coauthVersionMax="47" xr10:uidLastSave="{00000000-0000-0000-0000-000000000000}"/>
  <bookViews>
    <workbookView xWindow="-110" yWindow="-110" windowWidth="19420" windowHeight="10300" firstSheet="5" activeTab="8" xr2:uid="{03D55CD9-41FD-46ED-88CF-F11282DB47C5}"/>
  </bookViews>
  <sheets>
    <sheet name="Column_Chart" sheetId="3" r:id="rId1"/>
    <sheet name="Line_Chart" sheetId="4" r:id="rId2"/>
    <sheet name="Pie_Chart" sheetId="5" r:id="rId3"/>
    <sheet name="Bar_Chart" sheetId="6" r:id="rId4"/>
    <sheet name="Stacked_Column" sheetId="7" r:id="rId5"/>
    <sheet name="KPI_GPA" sheetId="16" r:id="rId6"/>
    <sheet name="KPI_SSC" sheetId="17" r:id="rId7"/>
    <sheet name="bangladesh_student_performance" sheetId="2" r:id="rId8"/>
    <sheet name="DASHBOARD" sheetId="9" r:id="rId9"/>
  </sheets>
  <definedNames>
    <definedName name="ExternalData_1" localSheetId="7" hidden="1">bangladesh_student_performance!$A$1:$Q$1001</definedName>
    <definedName name="Slicer_Gender">#N/A</definedName>
    <definedName name="Slicer_School_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6" l="1"/>
  <c r="E14" i="16"/>
  <c r="D4" i="17"/>
  <c r="N1004" i="2"/>
  <c r="L1005" i="2"/>
  <c r="L10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A4244A-F540-4011-B10C-C78CEAB2D995}" keepAlive="1" name="Query - bangladesh_student_performance" description="Connection to the 'bangladesh_student_performance' query in the workbook." type="5" refreshedVersion="8" background="1" saveData="1">
    <dbPr connection="Provider=Microsoft.Mashup.OleDb.1;Data Source=$Workbook$;Location=bangladesh_student_performance;Extended Properties=&quot;&quot;" command="SELECT * FROM [bangladesh_student_performance]"/>
  </connection>
  <connection id="2" xr16:uid="{311971A7-4DAD-4915-98E9-9977C15578EA}" keepAlive="1" name="Query - bangladesh_student_performance1" description="Connection to the 'bangladesh_student_performance1' query in the workbook." type="5" refreshedVersion="0" background="1">
    <dbPr connection="Provider=Microsoft.Mashup.OleDb.1;Data Source=$Workbook$;Location=bangladesh_student_performance1;Extended Properties=&quot;&quot;" command="SELECT * FROM [bangladesh_student_performance1]"/>
  </connection>
</connections>
</file>

<file path=xl/sharedStrings.xml><?xml version="1.0" encoding="utf-8"?>
<sst xmlns="http://schemas.openxmlformats.org/spreadsheetml/2006/main" count="9053" uniqueCount="52">
  <si>
    <t>Student_ID</t>
  </si>
  <si>
    <t>Gender</t>
  </si>
  <si>
    <t>Age</t>
  </si>
  <si>
    <t>District</t>
  </si>
  <si>
    <t>School_Type</t>
  </si>
  <si>
    <t>Study_Hours</t>
  </si>
  <si>
    <t>Attendance</t>
  </si>
  <si>
    <t>Parent_Education</t>
  </si>
  <si>
    <t>Family_Income</t>
  </si>
  <si>
    <t>Internet_Access</t>
  </si>
  <si>
    <t>Private_Tuition</t>
  </si>
  <si>
    <t>Previous_GPA</t>
  </si>
  <si>
    <t>SSC_Score</t>
  </si>
  <si>
    <t>HSC_Score</t>
  </si>
  <si>
    <t>Student_Category_on_HSS_Score</t>
  </si>
  <si>
    <t>Study_Level</t>
  </si>
  <si>
    <t>Improvement_Indicator</t>
  </si>
  <si>
    <t>Male</t>
  </si>
  <si>
    <t>Rangpur</t>
  </si>
  <si>
    <t>Private</t>
  </si>
  <si>
    <t>Graduate</t>
  </si>
  <si>
    <t>Yes</t>
  </si>
  <si>
    <t>Excellent</t>
  </si>
  <si>
    <t>Low</t>
  </si>
  <si>
    <t>Improved</t>
  </si>
  <si>
    <t>Female</t>
  </si>
  <si>
    <t>Rajshahi</t>
  </si>
  <si>
    <t>Primary</t>
  </si>
  <si>
    <t>No</t>
  </si>
  <si>
    <t>Declined</t>
  </si>
  <si>
    <t>Barisal</t>
  </si>
  <si>
    <t>Higher Secondary</t>
  </si>
  <si>
    <t>Medium</t>
  </si>
  <si>
    <t>Mymensingh</t>
  </si>
  <si>
    <t>Good</t>
  </si>
  <si>
    <t>Public</t>
  </si>
  <si>
    <t>Average</t>
  </si>
  <si>
    <t>Sylhet</t>
  </si>
  <si>
    <t>Same</t>
  </si>
  <si>
    <t>Khulna</t>
  </si>
  <si>
    <t>Secondary</t>
  </si>
  <si>
    <t>Dhaka</t>
  </si>
  <si>
    <t>Chattogram</t>
  </si>
  <si>
    <t>Row Labels</t>
  </si>
  <si>
    <t>Grand Total</t>
  </si>
  <si>
    <t>Total Students</t>
  </si>
  <si>
    <t>Avg HSC Score by Attendance</t>
  </si>
  <si>
    <t>Avg HSC Score by District</t>
  </si>
  <si>
    <t>Avg HSC Score by Parent Education</t>
  </si>
  <si>
    <t>Avg HSC Score by Family Income</t>
  </si>
  <si>
    <t>Sum of SSC_Score</t>
  </si>
  <si>
    <t>Average of Previous_GPA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</si>
</sst>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ndara"/>
      <family val="2"/>
    </font>
    <font>
      <b/>
      <sz val="18"/>
      <color theme="4" tint="0.79998168889431442"/>
      <name val="Calibri"/>
      <family val="2"/>
      <scheme val="minor"/>
    </font>
    <font>
      <sz val="11"/>
      <color theme="4" tint="-0.249977111117893"/>
      <name val="Calibri"/>
      <family val="2"/>
      <scheme val="minor"/>
    </font>
    <font>
      <b/>
      <sz val="16"/>
      <color theme="4" tint="0.79998168889431442"/>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2" fillId="0" borderId="0" xfId="0" applyFont="1"/>
    <xf numFmtId="0" fontId="3" fillId="0" borderId="0" xfId="0" applyFont="1"/>
    <xf numFmtId="0" fontId="0" fillId="0" borderId="0" xfId="0" applyNumberFormat="1"/>
    <xf numFmtId="0" fontId="4" fillId="0" borderId="0" xfId="0" applyNumberFormat="1" applyFont="1"/>
  </cellXfs>
  <cellStyles count="1">
    <cellStyle name="Normal" xfId="0" builtinId="0"/>
  </cellStyles>
  <dxfs count="30">
    <dxf>
      <font>
        <sz val="16"/>
      </font>
    </dxf>
    <dxf>
      <font>
        <b/>
      </font>
    </dxf>
    <dxf>
      <font>
        <color theme="4" tint="0.79998168889431442"/>
      </font>
    </dxf>
    <dxf>
      <font>
        <sz val="16"/>
      </font>
    </dxf>
    <dxf>
      <font>
        <b/>
      </font>
    </dxf>
    <dxf>
      <font>
        <color theme="4" tint="0.79998168889431442"/>
      </font>
    </dxf>
    <dxf>
      <font>
        <sz val="16"/>
      </font>
    </dxf>
    <dxf>
      <font>
        <b/>
      </font>
    </dxf>
    <dxf>
      <font>
        <color theme="4" tint="0.79998168889431442"/>
      </font>
    </dxf>
    <dxf>
      <font>
        <sz val="16"/>
      </font>
    </dxf>
    <dxf>
      <font>
        <b/>
      </font>
    </dxf>
    <dxf>
      <font>
        <color theme="4" tint="0.7999816888943144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4" tint="0.79998168889431442"/>
      </font>
    </dxf>
    <dxf>
      <font>
        <b/>
      </font>
    </dxf>
    <dxf>
      <font>
        <sz val="16"/>
      </font>
    </dxf>
    <dxf>
      <fill>
        <patternFill>
          <bgColor theme="4" tint="0.79998168889431442"/>
        </patternFill>
      </fill>
    </dxf>
    <dxf>
      <fill>
        <patternFill patternType="solid">
          <fgColor auto="1"/>
          <bgColor theme="8" tint="-0.499984740745262"/>
        </patternFill>
      </fill>
    </dxf>
    <dxf>
      <fill>
        <patternFill>
          <bgColor theme="3" tint="0.79998168889431442"/>
        </patternFill>
      </fill>
    </dxf>
  </dxfs>
  <tableStyles count="2" defaultTableStyle="TableStyleMedium2" defaultPivotStyle="PivotStyleLight16">
    <tableStyle name="Slicer Style 1" pivot="0" table="0" count="1" xr9:uid="{DBEB4EA2-D414-458F-9262-55E35B28E6AE}">
      <tableStyleElement type="headerRow" dxfId="29"/>
    </tableStyle>
    <tableStyle name="Slicer Style 2" pivot="0" table="0" count="3" xr9:uid="{0C986435-769C-486F-BEB4-9C12CD2E05F2}">
      <tableStyleElement type="wholeTable" dxfId="28"/>
      <tableStyleElement type="headerRow" dxfId="27"/>
    </tableStyle>
  </tableStyles>
  <extLst>
    <ext xmlns:x14="http://schemas.microsoft.com/office/spreadsheetml/2009/9/main" uri="{46F421CA-312F-682f-3DD2-61675219B42D}">
      <x14:dxfs count="1">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[Excel_Project.xlsx]Column_Chart!PivotTable1</c:name>
    <c:fmtId val="12"/>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IN">
                <a:solidFill>
                  <a:schemeClr val="tx2">
                    <a:lumMod val="20000"/>
                    <a:lumOff val="80000"/>
                  </a:schemeClr>
                </a:solidFill>
              </a:rPr>
              <a:t> </a:t>
            </a:r>
            <a:r>
              <a:rPr lang="en-IN" sz="1100" b="1">
                <a:solidFill>
                  <a:schemeClr val="tx2">
                    <a:lumMod val="20000"/>
                    <a:lumOff val="80000"/>
                  </a:schemeClr>
                </a:solidFill>
                <a:latin typeface="Candara" panose="020E0502030303020204" pitchFamily="34" charset="0"/>
              </a:rPr>
              <a:t>HSC Score by District</a:t>
            </a: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Column_Chart!$B$3</c:f>
              <c:strCache>
                <c:ptCount val="1"/>
                <c:pt idx="0">
                  <c:v>Total</c:v>
                </c:pt>
              </c:strCache>
            </c:strRef>
          </c:tx>
          <c:spPr>
            <a:solidFill>
              <a:schemeClr val="accent4">
                <a:lumMod val="75000"/>
              </a:schemeClr>
            </a:solidFill>
            <a:ln>
              <a:noFill/>
            </a:ln>
            <a:effectLst/>
          </c:spPr>
          <c:invertIfNegative val="0"/>
          <c:cat>
            <c:strRef>
              <c:f>Column_Chart!$A$4:$A$12</c:f>
              <c:strCache>
                <c:ptCount val="8"/>
                <c:pt idx="0">
                  <c:v>Barisal</c:v>
                </c:pt>
                <c:pt idx="1">
                  <c:v>Chattogram</c:v>
                </c:pt>
                <c:pt idx="2">
                  <c:v>Dhaka</c:v>
                </c:pt>
                <c:pt idx="3">
                  <c:v>Khulna</c:v>
                </c:pt>
                <c:pt idx="4">
                  <c:v>Mymensingh</c:v>
                </c:pt>
                <c:pt idx="5">
                  <c:v>Rajshahi</c:v>
                </c:pt>
                <c:pt idx="6">
                  <c:v>Rangpur</c:v>
                </c:pt>
                <c:pt idx="7">
                  <c:v>Sylhet</c:v>
                </c:pt>
              </c:strCache>
            </c:strRef>
          </c:cat>
          <c:val>
            <c:numRef>
              <c:f>Column_Chart!$B$4:$B$12</c:f>
              <c:numCache>
                <c:formatCode>General</c:formatCode>
                <c:ptCount val="8"/>
                <c:pt idx="0">
                  <c:v>4.1128800000000005</c:v>
                </c:pt>
                <c:pt idx="1">
                  <c:v>3.9988721804511278</c:v>
                </c:pt>
                <c:pt idx="2">
                  <c:v>4.0493076923076918</c:v>
                </c:pt>
                <c:pt idx="3">
                  <c:v>3.9464885496183206</c:v>
                </c:pt>
                <c:pt idx="4">
                  <c:v>3.9912605042016809</c:v>
                </c:pt>
                <c:pt idx="5">
                  <c:v>4.0908196721311478</c:v>
                </c:pt>
                <c:pt idx="6">
                  <c:v>3.9088617886178865</c:v>
                </c:pt>
                <c:pt idx="7">
                  <c:v>4.0035897435897452</c:v>
                </c:pt>
              </c:numCache>
            </c:numRef>
          </c:val>
          <c:extLst>
            <c:ext xmlns:c16="http://schemas.microsoft.com/office/drawing/2014/chart" uri="{C3380CC4-5D6E-409C-BE32-E72D297353CC}">
              <c16:uniqueId val="{00000000-08F8-46CD-A969-300724AF9E63}"/>
            </c:ext>
          </c:extLst>
        </c:ser>
        <c:dLbls>
          <c:showLegendKey val="0"/>
          <c:showVal val="0"/>
          <c:showCatName val="0"/>
          <c:showSerName val="0"/>
          <c:showPercent val="0"/>
          <c:showBubbleSize val="0"/>
        </c:dLbls>
        <c:gapWidth val="219"/>
        <c:overlap val="-27"/>
        <c:axId val="1464359104"/>
        <c:axId val="1898746176"/>
      </c:barChart>
      <c:catAx>
        <c:axId val="146435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898746176"/>
        <c:crosses val="autoZero"/>
        <c:auto val="1"/>
        <c:lblAlgn val="ctr"/>
        <c:lblOffset val="100"/>
        <c:noMultiLvlLbl val="0"/>
      </c:catAx>
      <c:valAx>
        <c:axId val="189874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46435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[Excel_Project.xlsx]Line_Chart!PivotTable2</c:name>
    <c:fmtId val="5"/>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US" sz="1100" b="1">
                <a:latin typeface="Candara" panose="020E0502030303020204" pitchFamily="34" charset="0"/>
              </a:rPr>
              <a:t>HSC Score by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Line_Chart!$B$3</c:f>
              <c:strCache>
                <c:ptCount val="1"/>
                <c:pt idx="0">
                  <c:v>Total</c:v>
                </c:pt>
              </c:strCache>
            </c:strRef>
          </c:tx>
          <c:spPr>
            <a:ln w="28575" cap="rnd">
              <a:solidFill>
                <a:schemeClr val="accent4">
                  <a:lumMod val="75000"/>
                </a:schemeClr>
              </a:solidFill>
              <a:round/>
            </a:ln>
            <a:effectLst/>
          </c:spPr>
          <c:marker>
            <c:symbol val="none"/>
          </c:marker>
          <c:cat>
            <c:strRef>
              <c:f>Line_Chart!$A$4:$A$44</c:f>
              <c:strCache>
                <c:ptCount val="40"/>
                <c:pt idx="0">
                  <c:v>0.6</c:v>
                </c:pt>
                <c:pt idx="1">
                  <c:v>0.61</c:v>
                </c:pt>
                <c:pt idx="2">
                  <c:v>0.62</c:v>
                </c:pt>
                <c:pt idx="3">
                  <c:v>0.63</c:v>
                </c:pt>
                <c:pt idx="4">
                  <c:v>0.64</c:v>
                </c:pt>
                <c:pt idx="5">
                  <c:v>0.65</c:v>
                </c:pt>
                <c:pt idx="6">
                  <c:v>0.66</c:v>
                </c:pt>
                <c:pt idx="7">
                  <c:v>0.67</c:v>
                </c:pt>
                <c:pt idx="8">
                  <c:v>0.68</c:v>
                </c:pt>
                <c:pt idx="9">
                  <c:v>0.69</c:v>
                </c:pt>
                <c:pt idx="10">
                  <c:v>0.7</c:v>
                </c:pt>
                <c:pt idx="11">
                  <c:v>0.71</c:v>
                </c:pt>
                <c:pt idx="12">
                  <c:v>0.72</c:v>
                </c:pt>
                <c:pt idx="13">
                  <c:v>0.73</c:v>
                </c:pt>
                <c:pt idx="14">
                  <c:v>0.74</c:v>
                </c:pt>
                <c:pt idx="15">
                  <c:v>0.75</c:v>
                </c:pt>
                <c:pt idx="16">
                  <c:v>0.76</c:v>
                </c:pt>
                <c:pt idx="17">
                  <c:v>0.77</c:v>
                </c:pt>
                <c:pt idx="18">
                  <c:v>0.78</c:v>
                </c:pt>
                <c:pt idx="19">
                  <c:v>0.79</c:v>
                </c:pt>
                <c:pt idx="20">
                  <c:v>0.8</c:v>
                </c:pt>
                <c:pt idx="21">
                  <c:v>0.81</c:v>
                </c:pt>
                <c:pt idx="22">
                  <c:v>0.82</c:v>
                </c:pt>
                <c:pt idx="23">
                  <c:v>0.83</c:v>
                </c:pt>
                <c:pt idx="24">
                  <c:v>0.84</c:v>
                </c:pt>
                <c:pt idx="25">
                  <c:v>0.85</c:v>
                </c:pt>
                <c:pt idx="26">
                  <c:v>0.86</c:v>
                </c:pt>
                <c:pt idx="27">
                  <c:v>0.87</c:v>
                </c:pt>
                <c:pt idx="28">
                  <c:v>0.88</c:v>
                </c:pt>
                <c:pt idx="29">
                  <c:v>0.89</c:v>
                </c:pt>
                <c:pt idx="30">
                  <c:v>0.9</c:v>
                </c:pt>
                <c:pt idx="31">
                  <c:v>0.91</c:v>
                </c:pt>
                <c:pt idx="32">
                  <c:v>0.92</c:v>
                </c:pt>
                <c:pt idx="33">
                  <c:v>0.93</c:v>
                </c:pt>
                <c:pt idx="34">
                  <c:v>0.94</c:v>
                </c:pt>
                <c:pt idx="35">
                  <c:v>0.95</c:v>
                </c:pt>
                <c:pt idx="36">
                  <c:v>0.96</c:v>
                </c:pt>
                <c:pt idx="37">
                  <c:v>0.97</c:v>
                </c:pt>
                <c:pt idx="38">
                  <c:v>0.98</c:v>
                </c:pt>
                <c:pt idx="39">
                  <c:v>0.99</c:v>
                </c:pt>
              </c:strCache>
            </c:strRef>
          </c:cat>
          <c:val>
            <c:numRef>
              <c:f>Line_Chart!$B$4:$B$44</c:f>
              <c:numCache>
                <c:formatCode>General</c:formatCode>
                <c:ptCount val="40"/>
                <c:pt idx="0">
                  <c:v>4.0869230769230764</c:v>
                </c:pt>
                <c:pt idx="1">
                  <c:v>4.1533333333333333</c:v>
                </c:pt>
                <c:pt idx="2">
                  <c:v>3.9533333333333331</c:v>
                </c:pt>
                <c:pt idx="3">
                  <c:v>3.871428571428571</c:v>
                </c:pt>
                <c:pt idx="4">
                  <c:v>3.7776000000000001</c:v>
                </c:pt>
                <c:pt idx="5">
                  <c:v>4.2224000000000013</c:v>
                </c:pt>
                <c:pt idx="6">
                  <c:v>4.087727272727272</c:v>
                </c:pt>
                <c:pt idx="7">
                  <c:v>4.0664999999999996</c:v>
                </c:pt>
                <c:pt idx="8">
                  <c:v>3.995000000000001</c:v>
                </c:pt>
                <c:pt idx="9">
                  <c:v>4.022333333333334</c:v>
                </c:pt>
                <c:pt idx="10">
                  <c:v>4.036896551724138</c:v>
                </c:pt>
                <c:pt idx="11">
                  <c:v>4.0614285714285714</c:v>
                </c:pt>
                <c:pt idx="12">
                  <c:v>3.8376923076923077</c:v>
                </c:pt>
                <c:pt idx="13">
                  <c:v>3.6983333333333337</c:v>
                </c:pt>
                <c:pt idx="14">
                  <c:v>3.9519999999999995</c:v>
                </c:pt>
                <c:pt idx="15">
                  <c:v>4.1908695652173913</c:v>
                </c:pt>
                <c:pt idx="16">
                  <c:v>4.1180000000000003</c:v>
                </c:pt>
                <c:pt idx="17">
                  <c:v>3.8760869565217386</c:v>
                </c:pt>
                <c:pt idx="18">
                  <c:v>4.1617857142857133</c:v>
                </c:pt>
                <c:pt idx="19">
                  <c:v>3.927407407407407</c:v>
                </c:pt>
                <c:pt idx="20">
                  <c:v>3.9238461538461546</c:v>
                </c:pt>
                <c:pt idx="21">
                  <c:v>4.1286206896551727</c:v>
                </c:pt>
                <c:pt idx="22">
                  <c:v>4.1274999999999986</c:v>
                </c:pt>
                <c:pt idx="23">
                  <c:v>4.0484999999999989</c:v>
                </c:pt>
                <c:pt idx="24">
                  <c:v>4.1619230769230766</c:v>
                </c:pt>
                <c:pt idx="25">
                  <c:v>4.2208333333333341</c:v>
                </c:pt>
                <c:pt idx="26">
                  <c:v>4.0638461538461543</c:v>
                </c:pt>
                <c:pt idx="27">
                  <c:v>3.9153125000000002</c:v>
                </c:pt>
                <c:pt idx="28">
                  <c:v>4.1258823529411766</c:v>
                </c:pt>
                <c:pt idx="29">
                  <c:v>4.1377272727272727</c:v>
                </c:pt>
                <c:pt idx="30">
                  <c:v>3.794285714285714</c:v>
                </c:pt>
                <c:pt idx="31">
                  <c:v>3.8584848484848475</c:v>
                </c:pt>
                <c:pt idx="32">
                  <c:v>3.9223809523809514</c:v>
                </c:pt>
                <c:pt idx="33">
                  <c:v>3.9158333333333335</c:v>
                </c:pt>
                <c:pt idx="34">
                  <c:v>4.1159090909090903</c:v>
                </c:pt>
                <c:pt idx="35">
                  <c:v>4.0613793103448259</c:v>
                </c:pt>
                <c:pt idx="36">
                  <c:v>4.0265217391304349</c:v>
                </c:pt>
                <c:pt idx="37">
                  <c:v>4.0449999999999999</c:v>
                </c:pt>
                <c:pt idx="38">
                  <c:v>3.9110526315789484</c:v>
                </c:pt>
                <c:pt idx="39">
                  <c:v>3.7755999999999994</c:v>
                </c:pt>
              </c:numCache>
            </c:numRef>
          </c:val>
          <c:smooth val="0"/>
          <c:extLst>
            <c:ext xmlns:c16="http://schemas.microsoft.com/office/drawing/2014/chart" uri="{C3380CC4-5D6E-409C-BE32-E72D297353CC}">
              <c16:uniqueId val="{00000000-0D2C-436A-BDE4-BF03D3552538}"/>
            </c:ext>
          </c:extLst>
        </c:ser>
        <c:dLbls>
          <c:showLegendKey val="0"/>
          <c:showVal val="0"/>
          <c:showCatName val="0"/>
          <c:showSerName val="0"/>
          <c:showPercent val="0"/>
          <c:showBubbleSize val="0"/>
        </c:dLbls>
        <c:smooth val="0"/>
        <c:axId val="1902771584"/>
        <c:axId val="1929772000"/>
      </c:lineChart>
      <c:catAx>
        <c:axId val="190277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929772000"/>
        <c:crosses val="autoZero"/>
        <c:auto val="1"/>
        <c:lblAlgn val="ctr"/>
        <c:lblOffset val="100"/>
        <c:noMultiLvlLbl val="0"/>
      </c:catAx>
      <c:valAx>
        <c:axId val="192977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902771584"/>
        <c:crosses val="autoZero"/>
        <c:crossBetween val="between"/>
      </c:valAx>
      <c:spPr>
        <a:noFill/>
        <a:ln>
          <a:noFill/>
        </a:ln>
        <a:effectLst/>
      </c:spPr>
    </c:plotArea>
    <c:legend>
      <c:legendPos val="r"/>
      <c:layout>
        <c:manualLayout>
          <c:xMode val="edge"/>
          <c:yMode val="edge"/>
          <c:x val="0.85942244045090366"/>
          <c:y val="0.3691631297017241"/>
          <c:w val="0.12552109781760343"/>
          <c:h val="0.131041770336328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[Excel_Project.xlsx]Pie_Chart!PivotTable3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20000"/>
                    <a:lumOff val="80000"/>
                  </a:schemeClr>
                </a:solidFill>
                <a:latin typeface="Candara" panose="020E0502030303020204" pitchFamily="34" charset="0"/>
              </a:rPr>
              <a:t>Improvement</a:t>
            </a:r>
            <a:r>
              <a:rPr lang="en-US" sz="1100" b="1" baseline="0">
                <a:solidFill>
                  <a:schemeClr val="accent1">
                    <a:lumMod val="20000"/>
                    <a:lumOff val="80000"/>
                  </a:schemeClr>
                </a:solidFill>
                <a:latin typeface="Candara" panose="020E0502030303020204" pitchFamily="34" charset="0"/>
              </a:rPr>
              <a:t>  by Student ID</a:t>
            </a:r>
            <a:endParaRPr lang="en-US" sz="1100" b="1">
              <a:solidFill>
                <a:schemeClr val="accent1">
                  <a:lumMod val="20000"/>
                  <a:lumOff val="80000"/>
                </a:schemeClr>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w="25400">
            <a:solidFill>
              <a:schemeClr val="lt1"/>
            </a:solidFill>
          </a:ln>
          <a:effectLst/>
          <a:sp3d contourW="25400">
            <a:contourClr>
              <a:schemeClr val="lt1"/>
            </a:contourClr>
          </a:sp3d>
        </c:spPr>
      </c:pivotFmt>
      <c:pivotFmt>
        <c:idx val="7"/>
        <c:spPr>
          <a:solidFill>
            <a:schemeClr val="accent1">
              <a:lumMod val="20000"/>
              <a:lumOff val="8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w="25400">
            <a:solidFill>
              <a:schemeClr val="lt1"/>
            </a:solidFill>
          </a:ln>
          <a:effectLst/>
          <a:sp3d contourW="25400">
            <a:contourClr>
              <a:schemeClr val="lt1"/>
            </a:contourClr>
          </a:sp3d>
        </c:spPr>
      </c:pivotFmt>
      <c:pivotFmt>
        <c:idx val="11"/>
        <c:spPr>
          <a:solidFill>
            <a:schemeClr val="accent1">
              <a:lumMod val="20000"/>
              <a:lumOff val="8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w="25400">
            <a:solidFill>
              <a:schemeClr val="lt1"/>
            </a:solidFill>
          </a:ln>
          <a:effectLst/>
          <a:sp3d contourW="25400">
            <a:contourClr>
              <a:schemeClr val="lt1"/>
            </a:contourClr>
          </a:sp3d>
        </c:spPr>
      </c:pivotFmt>
      <c:pivotFmt>
        <c:idx val="15"/>
        <c:spPr>
          <a:solidFill>
            <a:schemeClr val="accent1">
              <a:lumMod val="20000"/>
              <a:lumOff val="80000"/>
            </a:schemeClr>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Pie_Chart!$B$3</c:f>
              <c:strCache>
                <c:ptCount val="1"/>
                <c:pt idx="0">
                  <c:v>Total</c:v>
                </c:pt>
              </c:strCache>
            </c:strRef>
          </c:tx>
          <c:dPt>
            <c:idx val="0"/>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31-4BD7-9AF4-279CF8F03F7A}"/>
              </c:ext>
            </c:extLst>
          </c:dPt>
          <c:dPt>
            <c:idx val="1"/>
            <c:bubble3D val="0"/>
            <c:spPr>
              <a:solidFill>
                <a:schemeClr val="accent1">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31-4BD7-9AF4-279CF8F03F7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31-4BD7-9AF4-279CF8F03F7A}"/>
              </c:ext>
            </c:extLst>
          </c:dPt>
          <c:cat>
            <c:strRef>
              <c:f>Pie_Chart!$A$4:$A$7</c:f>
              <c:strCache>
                <c:ptCount val="3"/>
                <c:pt idx="0">
                  <c:v>Declined</c:v>
                </c:pt>
                <c:pt idx="1">
                  <c:v>Improved</c:v>
                </c:pt>
                <c:pt idx="2">
                  <c:v>Same</c:v>
                </c:pt>
              </c:strCache>
            </c:strRef>
          </c:cat>
          <c:val>
            <c:numRef>
              <c:f>Pie_Chart!$B$4:$B$7</c:f>
              <c:numCache>
                <c:formatCode>General</c:formatCode>
                <c:ptCount val="3"/>
                <c:pt idx="0">
                  <c:v>484</c:v>
                </c:pt>
                <c:pt idx="1">
                  <c:v>507</c:v>
                </c:pt>
                <c:pt idx="2">
                  <c:v>9</c:v>
                </c:pt>
              </c:numCache>
            </c:numRef>
          </c:val>
          <c:extLst>
            <c:ext xmlns:c16="http://schemas.microsoft.com/office/drawing/2014/chart" uri="{C3380CC4-5D6E-409C-BE32-E72D297353CC}">
              <c16:uniqueId val="{00000006-6B31-4BD7-9AF4-279CF8F03F7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[Excel_Project.xlsx]Bar_Chart!PivotTable4</c:name>
    <c:fmtId val="5"/>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IN" sz="1100" b="1">
                <a:latin typeface="Candara" panose="020E0502030303020204" pitchFamily="34" charset="0"/>
              </a:rPr>
              <a:t>HSC Score by Parent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Bar_Chart!$B$3</c:f>
              <c:strCache>
                <c:ptCount val="1"/>
                <c:pt idx="0">
                  <c:v>Total</c:v>
                </c:pt>
              </c:strCache>
            </c:strRef>
          </c:tx>
          <c:spPr>
            <a:solidFill>
              <a:schemeClr val="accent4">
                <a:lumMod val="75000"/>
              </a:schemeClr>
            </a:solidFill>
            <a:ln>
              <a:noFill/>
            </a:ln>
            <a:effectLst/>
          </c:spPr>
          <c:invertIfNegative val="0"/>
          <c:cat>
            <c:strRef>
              <c:f>Bar_Chart!$A$4:$A$8</c:f>
              <c:strCache>
                <c:ptCount val="4"/>
                <c:pt idx="0">
                  <c:v>Graduate</c:v>
                </c:pt>
                <c:pt idx="1">
                  <c:v>Higher Secondary</c:v>
                </c:pt>
                <c:pt idx="2">
                  <c:v>Primary</c:v>
                </c:pt>
                <c:pt idx="3">
                  <c:v>Secondary</c:v>
                </c:pt>
              </c:strCache>
            </c:strRef>
          </c:cat>
          <c:val>
            <c:numRef>
              <c:f>Bar_Chart!$B$4:$B$8</c:f>
              <c:numCache>
                <c:formatCode>General</c:formatCode>
                <c:ptCount val="4"/>
                <c:pt idx="0">
                  <c:v>4.0007490636704128</c:v>
                </c:pt>
                <c:pt idx="1">
                  <c:v>4.0345418326693236</c:v>
                </c:pt>
                <c:pt idx="2">
                  <c:v>3.9636170212765989</c:v>
                </c:pt>
                <c:pt idx="3">
                  <c:v>4.0497570850202447</c:v>
                </c:pt>
              </c:numCache>
            </c:numRef>
          </c:val>
          <c:extLst>
            <c:ext xmlns:c16="http://schemas.microsoft.com/office/drawing/2014/chart" uri="{C3380CC4-5D6E-409C-BE32-E72D297353CC}">
              <c16:uniqueId val="{00000000-352D-4EB2-9FCD-BDADD7500AD0}"/>
            </c:ext>
          </c:extLst>
        </c:ser>
        <c:dLbls>
          <c:showLegendKey val="0"/>
          <c:showVal val="0"/>
          <c:showCatName val="0"/>
          <c:showSerName val="0"/>
          <c:showPercent val="0"/>
          <c:showBubbleSize val="0"/>
        </c:dLbls>
        <c:gapWidth val="182"/>
        <c:axId val="1945897712"/>
        <c:axId val="1945898192"/>
      </c:barChart>
      <c:catAx>
        <c:axId val="194589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945898192"/>
        <c:crosses val="autoZero"/>
        <c:auto val="1"/>
        <c:lblAlgn val="ctr"/>
        <c:lblOffset val="100"/>
        <c:noMultiLvlLbl val="0"/>
      </c:catAx>
      <c:valAx>
        <c:axId val="194589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94589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[Excel_Project.xlsx]Stacked_Column!PivotTable5</c:name>
    <c:fmtId val="4"/>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US" sz="1100" b="1">
                <a:latin typeface="Candara" panose="020E0502030303020204" pitchFamily="34" charset="0"/>
              </a:rPr>
              <a:t>HSC</a:t>
            </a:r>
            <a:r>
              <a:rPr lang="en-US" sz="1100" b="1" baseline="0">
                <a:latin typeface="Candara" panose="020E0502030303020204" pitchFamily="34" charset="0"/>
              </a:rPr>
              <a:t> Score by Family Income</a:t>
            </a:r>
            <a:endParaRPr lang="en-US" sz="1100" b="1">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Stacked_Column!$B$3</c:f>
              <c:strCache>
                <c:ptCount val="1"/>
                <c:pt idx="0">
                  <c:v>Total</c:v>
                </c:pt>
              </c:strCache>
            </c:strRef>
          </c:tx>
          <c:spPr>
            <a:solidFill>
              <a:schemeClr val="accent4">
                <a:lumMod val="75000"/>
              </a:schemeClr>
            </a:solidFill>
            <a:ln>
              <a:noFill/>
            </a:ln>
            <a:effectLst/>
          </c:spPr>
          <c:invertIfNegative val="0"/>
          <c:cat>
            <c:strRef>
              <c:f>Stacked_Column!$A$4:$A$19</c:f>
              <c:strCache>
                <c:ptCount val="15"/>
                <c:pt idx="0">
                  <c:v>11184</c:v>
                </c:pt>
                <c:pt idx="1">
                  <c:v>17371</c:v>
                </c:pt>
                <c:pt idx="2">
                  <c:v>27118</c:v>
                </c:pt>
                <c:pt idx="3">
                  <c:v>28610</c:v>
                </c:pt>
                <c:pt idx="4">
                  <c:v>29522</c:v>
                </c:pt>
                <c:pt idx="5">
                  <c:v>29680</c:v>
                </c:pt>
                <c:pt idx="6">
                  <c:v>36627</c:v>
                </c:pt>
                <c:pt idx="7">
                  <c:v>38572</c:v>
                </c:pt>
                <c:pt idx="8">
                  <c:v>44675</c:v>
                </c:pt>
                <c:pt idx="9">
                  <c:v>44754</c:v>
                </c:pt>
                <c:pt idx="10">
                  <c:v>49169</c:v>
                </c:pt>
                <c:pt idx="11">
                  <c:v>53492</c:v>
                </c:pt>
                <c:pt idx="12">
                  <c:v>53894</c:v>
                </c:pt>
                <c:pt idx="13">
                  <c:v>54632</c:v>
                </c:pt>
                <c:pt idx="14">
                  <c:v>56714</c:v>
                </c:pt>
              </c:strCache>
            </c:strRef>
          </c:cat>
          <c:val>
            <c:numRef>
              <c:f>Stacked_Column!$B$4:$B$19</c:f>
              <c:numCache>
                <c:formatCode>General</c:formatCode>
                <c:ptCount val="15"/>
                <c:pt idx="0">
                  <c:v>4.9800000000000004</c:v>
                </c:pt>
                <c:pt idx="1">
                  <c:v>5</c:v>
                </c:pt>
                <c:pt idx="2">
                  <c:v>5</c:v>
                </c:pt>
                <c:pt idx="3">
                  <c:v>4.99</c:v>
                </c:pt>
                <c:pt idx="4">
                  <c:v>4.99</c:v>
                </c:pt>
                <c:pt idx="5">
                  <c:v>4.99</c:v>
                </c:pt>
                <c:pt idx="6">
                  <c:v>4.9800000000000004</c:v>
                </c:pt>
                <c:pt idx="7">
                  <c:v>4.9800000000000004</c:v>
                </c:pt>
                <c:pt idx="8">
                  <c:v>4.9800000000000004</c:v>
                </c:pt>
                <c:pt idx="9">
                  <c:v>5</c:v>
                </c:pt>
                <c:pt idx="10">
                  <c:v>5</c:v>
                </c:pt>
                <c:pt idx="11">
                  <c:v>4.99</c:v>
                </c:pt>
                <c:pt idx="12">
                  <c:v>5</c:v>
                </c:pt>
                <c:pt idx="13">
                  <c:v>4.9800000000000004</c:v>
                </c:pt>
                <c:pt idx="14">
                  <c:v>4.9800000000000004</c:v>
                </c:pt>
              </c:numCache>
            </c:numRef>
          </c:val>
          <c:extLst>
            <c:ext xmlns:c16="http://schemas.microsoft.com/office/drawing/2014/chart" uri="{C3380CC4-5D6E-409C-BE32-E72D297353CC}">
              <c16:uniqueId val="{00000000-5800-4BEE-8BD8-19482BA7EE2B}"/>
            </c:ext>
          </c:extLst>
        </c:ser>
        <c:dLbls>
          <c:showLegendKey val="0"/>
          <c:showVal val="0"/>
          <c:showCatName val="0"/>
          <c:showSerName val="0"/>
          <c:showPercent val="0"/>
          <c:showBubbleSize val="0"/>
        </c:dLbls>
        <c:gapWidth val="150"/>
        <c:overlap val="100"/>
        <c:axId val="1898763456"/>
        <c:axId val="1898764416"/>
      </c:barChart>
      <c:catAx>
        <c:axId val="189876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898764416"/>
        <c:crosses val="autoZero"/>
        <c:auto val="1"/>
        <c:lblAlgn val="ctr"/>
        <c:lblOffset val="100"/>
        <c:noMultiLvlLbl val="0"/>
      </c:catAx>
      <c:valAx>
        <c:axId val="189876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89876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[Excel_Project.xlsx]Column_Chart!PivotTable1</c:name>
    <c:fmtId val="8"/>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IN">
                <a:solidFill>
                  <a:schemeClr val="tx2">
                    <a:lumMod val="20000"/>
                    <a:lumOff val="80000"/>
                  </a:schemeClr>
                </a:solidFill>
              </a:rPr>
              <a:t> </a:t>
            </a:r>
            <a:r>
              <a:rPr lang="en-IN" sz="1100" b="1">
                <a:solidFill>
                  <a:schemeClr val="tx2">
                    <a:lumMod val="20000"/>
                    <a:lumOff val="80000"/>
                  </a:schemeClr>
                </a:solidFill>
                <a:latin typeface="Candara" panose="020E0502030303020204" pitchFamily="34" charset="0"/>
              </a:rPr>
              <a:t>HSC Score by District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Column_Chart!$B$3</c:f>
              <c:strCache>
                <c:ptCount val="1"/>
                <c:pt idx="0">
                  <c:v>Total</c:v>
                </c:pt>
              </c:strCache>
            </c:strRef>
          </c:tx>
          <c:spPr>
            <a:solidFill>
              <a:schemeClr val="accent4">
                <a:lumMod val="75000"/>
              </a:schemeClr>
            </a:solidFill>
            <a:ln>
              <a:noFill/>
            </a:ln>
            <a:effectLst/>
          </c:spPr>
          <c:invertIfNegative val="0"/>
          <c:cat>
            <c:strRef>
              <c:f>Column_Chart!$A$4:$A$12</c:f>
              <c:strCache>
                <c:ptCount val="8"/>
                <c:pt idx="0">
                  <c:v>Barisal</c:v>
                </c:pt>
                <c:pt idx="1">
                  <c:v>Chattogram</c:v>
                </c:pt>
                <c:pt idx="2">
                  <c:v>Dhaka</c:v>
                </c:pt>
                <c:pt idx="3">
                  <c:v>Khulna</c:v>
                </c:pt>
                <c:pt idx="4">
                  <c:v>Mymensingh</c:v>
                </c:pt>
                <c:pt idx="5">
                  <c:v>Rajshahi</c:v>
                </c:pt>
                <c:pt idx="6">
                  <c:v>Rangpur</c:v>
                </c:pt>
                <c:pt idx="7">
                  <c:v>Sylhet</c:v>
                </c:pt>
              </c:strCache>
            </c:strRef>
          </c:cat>
          <c:val>
            <c:numRef>
              <c:f>Column_Chart!$B$4:$B$12</c:f>
              <c:numCache>
                <c:formatCode>General</c:formatCode>
                <c:ptCount val="8"/>
                <c:pt idx="0">
                  <c:v>4.1128800000000005</c:v>
                </c:pt>
                <c:pt idx="1">
                  <c:v>3.9988721804511278</c:v>
                </c:pt>
                <c:pt idx="2">
                  <c:v>4.0493076923076918</c:v>
                </c:pt>
                <c:pt idx="3">
                  <c:v>3.9464885496183206</c:v>
                </c:pt>
                <c:pt idx="4">
                  <c:v>3.9912605042016809</c:v>
                </c:pt>
                <c:pt idx="5">
                  <c:v>4.0908196721311478</c:v>
                </c:pt>
                <c:pt idx="6">
                  <c:v>3.9088617886178865</c:v>
                </c:pt>
                <c:pt idx="7">
                  <c:v>4.0035897435897452</c:v>
                </c:pt>
              </c:numCache>
            </c:numRef>
          </c:val>
          <c:extLst>
            <c:ext xmlns:c16="http://schemas.microsoft.com/office/drawing/2014/chart" uri="{C3380CC4-5D6E-409C-BE32-E72D297353CC}">
              <c16:uniqueId val="{00000000-8186-4990-A00E-8E089C1C0871}"/>
            </c:ext>
          </c:extLst>
        </c:ser>
        <c:dLbls>
          <c:showLegendKey val="0"/>
          <c:showVal val="0"/>
          <c:showCatName val="0"/>
          <c:showSerName val="0"/>
          <c:showPercent val="0"/>
          <c:showBubbleSize val="0"/>
        </c:dLbls>
        <c:gapWidth val="219"/>
        <c:overlap val="-27"/>
        <c:axId val="1464359104"/>
        <c:axId val="1898746176"/>
      </c:barChart>
      <c:catAx>
        <c:axId val="146435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898746176"/>
        <c:crosses val="autoZero"/>
        <c:auto val="1"/>
        <c:lblAlgn val="ctr"/>
        <c:lblOffset val="100"/>
        <c:noMultiLvlLbl val="0"/>
      </c:catAx>
      <c:valAx>
        <c:axId val="189874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46435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[Excel_Project.xlsx]Stacked_Column!PivotTable5</c:name>
    <c:fmtId val="2"/>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US" sz="1100" b="1">
                <a:latin typeface="Candara" panose="020E0502030303020204" pitchFamily="34" charset="0"/>
              </a:rPr>
              <a:t>HSC</a:t>
            </a:r>
            <a:r>
              <a:rPr lang="en-US" sz="1100" b="1" baseline="0">
                <a:latin typeface="Candara" panose="020E0502030303020204" pitchFamily="34" charset="0"/>
              </a:rPr>
              <a:t> Score by Family Income</a:t>
            </a:r>
            <a:endParaRPr lang="en-US" sz="1100" b="1">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stacked"/>
        <c:varyColors val="0"/>
        <c:ser>
          <c:idx val="0"/>
          <c:order val="0"/>
          <c:tx>
            <c:strRef>
              <c:f>Stacked_Column!$B$3</c:f>
              <c:strCache>
                <c:ptCount val="1"/>
                <c:pt idx="0">
                  <c:v>Total</c:v>
                </c:pt>
              </c:strCache>
            </c:strRef>
          </c:tx>
          <c:spPr>
            <a:solidFill>
              <a:schemeClr val="accent4">
                <a:lumMod val="75000"/>
              </a:schemeClr>
            </a:solidFill>
            <a:ln>
              <a:noFill/>
            </a:ln>
            <a:effectLst/>
          </c:spPr>
          <c:invertIfNegative val="0"/>
          <c:cat>
            <c:strRef>
              <c:f>Stacked_Column!$A$4:$A$19</c:f>
              <c:strCache>
                <c:ptCount val="15"/>
                <c:pt idx="0">
                  <c:v>11184</c:v>
                </c:pt>
                <c:pt idx="1">
                  <c:v>17371</c:v>
                </c:pt>
                <c:pt idx="2">
                  <c:v>27118</c:v>
                </c:pt>
                <c:pt idx="3">
                  <c:v>28610</c:v>
                </c:pt>
                <c:pt idx="4">
                  <c:v>29522</c:v>
                </c:pt>
                <c:pt idx="5">
                  <c:v>29680</c:v>
                </c:pt>
                <c:pt idx="6">
                  <c:v>36627</c:v>
                </c:pt>
                <c:pt idx="7">
                  <c:v>38572</c:v>
                </c:pt>
                <c:pt idx="8">
                  <c:v>44675</c:v>
                </c:pt>
                <c:pt idx="9">
                  <c:v>44754</c:v>
                </c:pt>
                <c:pt idx="10">
                  <c:v>49169</c:v>
                </c:pt>
                <c:pt idx="11">
                  <c:v>53492</c:v>
                </c:pt>
                <c:pt idx="12">
                  <c:v>53894</c:v>
                </c:pt>
                <c:pt idx="13">
                  <c:v>54632</c:v>
                </c:pt>
                <c:pt idx="14">
                  <c:v>56714</c:v>
                </c:pt>
              </c:strCache>
            </c:strRef>
          </c:cat>
          <c:val>
            <c:numRef>
              <c:f>Stacked_Column!$B$4:$B$19</c:f>
              <c:numCache>
                <c:formatCode>General</c:formatCode>
                <c:ptCount val="15"/>
                <c:pt idx="0">
                  <c:v>4.9800000000000004</c:v>
                </c:pt>
                <c:pt idx="1">
                  <c:v>5</c:v>
                </c:pt>
                <c:pt idx="2">
                  <c:v>5</c:v>
                </c:pt>
                <c:pt idx="3">
                  <c:v>4.99</c:v>
                </c:pt>
                <c:pt idx="4">
                  <c:v>4.99</c:v>
                </c:pt>
                <c:pt idx="5">
                  <c:v>4.99</c:v>
                </c:pt>
                <c:pt idx="6">
                  <c:v>4.9800000000000004</c:v>
                </c:pt>
                <c:pt idx="7">
                  <c:v>4.9800000000000004</c:v>
                </c:pt>
                <c:pt idx="8">
                  <c:v>4.9800000000000004</c:v>
                </c:pt>
                <c:pt idx="9">
                  <c:v>5</c:v>
                </c:pt>
                <c:pt idx="10">
                  <c:v>5</c:v>
                </c:pt>
                <c:pt idx="11">
                  <c:v>4.99</c:v>
                </c:pt>
                <c:pt idx="12">
                  <c:v>5</c:v>
                </c:pt>
                <c:pt idx="13">
                  <c:v>4.9800000000000004</c:v>
                </c:pt>
                <c:pt idx="14">
                  <c:v>4.9800000000000004</c:v>
                </c:pt>
              </c:numCache>
            </c:numRef>
          </c:val>
          <c:extLst>
            <c:ext xmlns:c16="http://schemas.microsoft.com/office/drawing/2014/chart" uri="{C3380CC4-5D6E-409C-BE32-E72D297353CC}">
              <c16:uniqueId val="{00000000-5DF4-4F3C-9ABE-C5BB81E23325}"/>
            </c:ext>
          </c:extLst>
        </c:ser>
        <c:dLbls>
          <c:showLegendKey val="0"/>
          <c:showVal val="0"/>
          <c:showCatName val="0"/>
          <c:showSerName val="0"/>
          <c:showPercent val="0"/>
          <c:showBubbleSize val="0"/>
        </c:dLbls>
        <c:gapWidth val="150"/>
        <c:overlap val="100"/>
        <c:axId val="1898763456"/>
        <c:axId val="1898764416"/>
      </c:barChart>
      <c:catAx>
        <c:axId val="189876345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898764416"/>
        <c:crosses val="autoZero"/>
        <c:auto val="1"/>
        <c:lblAlgn val="ctr"/>
        <c:lblOffset val="100"/>
        <c:noMultiLvlLbl val="0"/>
      </c:catAx>
      <c:valAx>
        <c:axId val="189876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89876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[Excel_Project.xlsx]Line_Chart!PivotTable2</c:name>
    <c:fmtId val="3"/>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US" sz="1100" b="1">
                <a:latin typeface="Candara" panose="020E0502030303020204" pitchFamily="34" charset="0"/>
              </a:rPr>
              <a:t>HSC Score by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Line_Chart!$B$3</c:f>
              <c:strCache>
                <c:ptCount val="1"/>
                <c:pt idx="0">
                  <c:v>Total</c:v>
                </c:pt>
              </c:strCache>
            </c:strRef>
          </c:tx>
          <c:spPr>
            <a:ln w="28575" cap="rnd">
              <a:solidFill>
                <a:schemeClr val="accent4">
                  <a:lumMod val="75000"/>
                </a:schemeClr>
              </a:solidFill>
              <a:round/>
            </a:ln>
            <a:effectLst/>
          </c:spPr>
          <c:marker>
            <c:symbol val="none"/>
          </c:marker>
          <c:cat>
            <c:strRef>
              <c:f>Line_Chart!$A$4:$A$44</c:f>
              <c:strCache>
                <c:ptCount val="40"/>
                <c:pt idx="0">
                  <c:v>0.6</c:v>
                </c:pt>
                <c:pt idx="1">
                  <c:v>0.61</c:v>
                </c:pt>
                <c:pt idx="2">
                  <c:v>0.62</c:v>
                </c:pt>
                <c:pt idx="3">
                  <c:v>0.63</c:v>
                </c:pt>
                <c:pt idx="4">
                  <c:v>0.64</c:v>
                </c:pt>
                <c:pt idx="5">
                  <c:v>0.65</c:v>
                </c:pt>
                <c:pt idx="6">
                  <c:v>0.66</c:v>
                </c:pt>
                <c:pt idx="7">
                  <c:v>0.67</c:v>
                </c:pt>
                <c:pt idx="8">
                  <c:v>0.68</c:v>
                </c:pt>
                <c:pt idx="9">
                  <c:v>0.69</c:v>
                </c:pt>
                <c:pt idx="10">
                  <c:v>0.7</c:v>
                </c:pt>
                <c:pt idx="11">
                  <c:v>0.71</c:v>
                </c:pt>
                <c:pt idx="12">
                  <c:v>0.72</c:v>
                </c:pt>
                <c:pt idx="13">
                  <c:v>0.73</c:v>
                </c:pt>
                <c:pt idx="14">
                  <c:v>0.74</c:v>
                </c:pt>
                <c:pt idx="15">
                  <c:v>0.75</c:v>
                </c:pt>
                <c:pt idx="16">
                  <c:v>0.76</c:v>
                </c:pt>
                <c:pt idx="17">
                  <c:v>0.77</c:v>
                </c:pt>
                <c:pt idx="18">
                  <c:v>0.78</c:v>
                </c:pt>
                <c:pt idx="19">
                  <c:v>0.79</c:v>
                </c:pt>
                <c:pt idx="20">
                  <c:v>0.8</c:v>
                </c:pt>
                <c:pt idx="21">
                  <c:v>0.81</c:v>
                </c:pt>
                <c:pt idx="22">
                  <c:v>0.82</c:v>
                </c:pt>
                <c:pt idx="23">
                  <c:v>0.83</c:v>
                </c:pt>
                <c:pt idx="24">
                  <c:v>0.84</c:v>
                </c:pt>
                <c:pt idx="25">
                  <c:v>0.85</c:v>
                </c:pt>
                <c:pt idx="26">
                  <c:v>0.86</c:v>
                </c:pt>
                <c:pt idx="27">
                  <c:v>0.87</c:v>
                </c:pt>
                <c:pt idx="28">
                  <c:v>0.88</c:v>
                </c:pt>
                <c:pt idx="29">
                  <c:v>0.89</c:v>
                </c:pt>
                <c:pt idx="30">
                  <c:v>0.9</c:v>
                </c:pt>
                <c:pt idx="31">
                  <c:v>0.91</c:v>
                </c:pt>
                <c:pt idx="32">
                  <c:v>0.92</c:v>
                </c:pt>
                <c:pt idx="33">
                  <c:v>0.93</c:v>
                </c:pt>
                <c:pt idx="34">
                  <c:v>0.94</c:v>
                </c:pt>
                <c:pt idx="35">
                  <c:v>0.95</c:v>
                </c:pt>
                <c:pt idx="36">
                  <c:v>0.96</c:v>
                </c:pt>
                <c:pt idx="37">
                  <c:v>0.97</c:v>
                </c:pt>
                <c:pt idx="38">
                  <c:v>0.98</c:v>
                </c:pt>
                <c:pt idx="39">
                  <c:v>0.99</c:v>
                </c:pt>
              </c:strCache>
            </c:strRef>
          </c:cat>
          <c:val>
            <c:numRef>
              <c:f>Line_Chart!$B$4:$B$44</c:f>
              <c:numCache>
                <c:formatCode>General</c:formatCode>
                <c:ptCount val="40"/>
                <c:pt idx="0">
                  <c:v>4.0869230769230764</c:v>
                </c:pt>
                <c:pt idx="1">
                  <c:v>4.1533333333333333</c:v>
                </c:pt>
                <c:pt idx="2">
                  <c:v>3.9533333333333331</c:v>
                </c:pt>
                <c:pt idx="3">
                  <c:v>3.871428571428571</c:v>
                </c:pt>
                <c:pt idx="4">
                  <c:v>3.7776000000000001</c:v>
                </c:pt>
                <c:pt idx="5">
                  <c:v>4.2224000000000013</c:v>
                </c:pt>
                <c:pt idx="6">
                  <c:v>4.087727272727272</c:v>
                </c:pt>
                <c:pt idx="7">
                  <c:v>4.0664999999999996</c:v>
                </c:pt>
                <c:pt idx="8">
                  <c:v>3.995000000000001</c:v>
                </c:pt>
                <c:pt idx="9">
                  <c:v>4.022333333333334</c:v>
                </c:pt>
                <c:pt idx="10">
                  <c:v>4.036896551724138</c:v>
                </c:pt>
                <c:pt idx="11">
                  <c:v>4.0614285714285714</c:v>
                </c:pt>
                <c:pt idx="12">
                  <c:v>3.8376923076923077</c:v>
                </c:pt>
                <c:pt idx="13">
                  <c:v>3.6983333333333337</c:v>
                </c:pt>
                <c:pt idx="14">
                  <c:v>3.9519999999999995</c:v>
                </c:pt>
                <c:pt idx="15">
                  <c:v>4.1908695652173913</c:v>
                </c:pt>
                <c:pt idx="16">
                  <c:v>4.1180000000000003</c:v>
                </c:pt>
                <c:pt idx="17">
                  <c:v>3.8760869565217386</c:v>
                </c:pt>
                <c:pt idx="18">
                  <c:v>4.1617857142857133</c:v>
                </c:pt>
                <c:pt idx="19">
                  <c:v>3.927407407407407</c:v>
                </c:pt>
                <c:pt idx="20">
                  <c:v>3.9238461538461546</c:v>
                </c:pt>
                <c:pt idx="21">
                  <c:v>4.1286206896551727</c:v>
                </c:pt>
                <c:pt idx="22">
                  <c:v>4.1274999999999986</c:v>
                </c:pt>
                <c:pt idx="23">
                  <c:v>4.0484999999999989</c:v>
                </c:pt>
                <c:pt idx="24">
                  <c:v>4.1619230769230766</c:v>
                </c:pt>
                <c:pt idx="25">
                  <c:v>4.2208333333333341</c:v>
                </c:pt>
                <c:pt idx="26">
                  <c:v>4.0638461538461543</c:v>
                </c:pt>
                <c:pt idx="27">
                  <c:v>3.9153125000000002</c:v>
                </c:pt>
                <c:pt idx="28">
                  <c:v>4.1258823529411766</c:v>
                </c:pt>
                <c:pt idx="29">
                  <c:v>4.1377272727272727</c:v>
                </c:pt>
                <c:pt idx="30">
                  <c:v>3.794285714285714</c:v>
                </c:pt>
                <c:pt idx="31">
                  <c:v>3.8584848484848475</c:v>
                </c:pt>
                <c:pt idx="32">
                  <c:v>3.9223809523809514</c:v>
                </c:pt>
                <c:pt idx="33">
                  <c:v>3.9158333333333335</c:v>
                </c:pt>
                <c:pt idx="34">
                  <c:v>4.1159090909090903</c:v>
                </c:pt>
                <c:pt idx="35">
                  <c:v>4.0613793103448259</c:v>
                </c:pt>
                <c:pt idx="36">
                  <c:v>4.0265217391304349</c:v>
                </c:pt>
                <c:pt idx="37">
                  <c:v>4.0449999999999999</c:v>
                </c:pt>
                <c:pt idx="38">
                  <c:v>3.9110526315789484</c:v>
                </c:pt>
                <c:pt idx="39">
                  <c:v>3.7755999999999994</c:v>
                </c:pt>
              </c:numCache>
            </c:numRef>
          </c:val>
          <c:smooth val="0"/>
          <c:extLst>
            <c:ext xmlns:c16="http://schemas.microsoft.com/office/drawing/2014/chart" uri="{C3380CC4-5D6E-409C-BE32-E72D297353CC}">
              <c16:uniqueId val="{00000000-158A-42D6-B8A1-1FDEAE32C06E}"/>
            </c:ext>
          </c:extLst>
        </c:ser>
        <c:dLbls>
          <c:showLegendKey val="0"/>
          <c:showVal val="0"/>
          <c:showCatName val="0"/>
          <c:showSerName val="0"/>
          <c:showPercent val="0"/>
          <c:showBubbleSize val="0"/>
        </c:dLbls>
        <c:smooth val="0"/>
        <c:axId val="1902771584"/>
        <c:axId val="1929772000"/>
      </c:lineChart>
      <c:catAx>
        <c:axId val="190277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929772000"/>
        <c:crosses val="autoZero"/>
        <c:auto val="1"/>
        <c:lblAlgn val="ctr"/>
        <c:lblOffset val="100"/>
        <c:noMultiLvlLbl val="0"/>
      </c:catAx>
      <c:valAx>
        <c:axId val="192977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902771584"/>
        <c:crosses val="autoZero"/>
        <c:crossBetween val="between"/>
      </c:valAx>
      <c:spPr>
        <a:noFill/>
        <a:ln>
          <a:noFill/>
        </a:ln>
        <a:effectLst/>
      </c:spPr>
    </c:plotArea>
    <c:legend>
      <c:legendPos val="r"/>
      <c:layout>
        <c:manualLayout>
          <c:xMode val="edge"/>
          <c:yMode val="edge"/>
          <c:x val="0.85942244045090366"/>
          <c:y val="0.3691631297017241"/>
          <c:w val="0.12552109781760343"/>
          <c:h val="0.131041770336328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[Excel_Project.xlsx]Pie_Chart!PivotTable3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20000"/>
                    <a:lumOff val="80000"/>
                  </a:schemeClr>
                </a:solidFill>
                <a:latin typeface="Candara" panose="020E0502030303020204" pitchFamily="34" charset="0"/>
              </a:rPr>
              <a:t>Improvement</a:t>
            </a:r>
            <a:r>
              <a:rPr lang="en-US" sz="1100" b="1" baseline="0">
                <a:solidFill>
                  <a:schemeClr val="accent1">
                    <a:lumMod val="20000"/>
                    <a:lumOff val="80000"/>
                  </a:schemeClr>
                </a:solidFill>
                <a:latin typeface="Candara" panose="020E0502030303020204" pitchFamily="34" charset="0"/>
              </a:rPr>
              <a:t>  by Student ID</a:t>
            </a:r>
            <a:endParaRPr lang="en-US" sz="1100" b="1">
              <a:solidFill>
                <a:schemeClr val="accent1">
                  <a:lumMod val="20000"/>
                  <a:lumOff val="80000"/>
                </a:schemeClr>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25400">
            <a:solidFill>
              <a:schemeClr val="lt1"/>
            </a:solidFill>
          </a:ln>
          <a:effectLst/>
          <a:sp3d contourW="25400">
            <a:contourClr>
              <a:schemeClr val="lt1"/>
            </a:contourClr>
          </a:sp3d>
        </c:spPr>
      </c:pivotFmt>
      <c:pivotFmt>
        <c:idx val="7"/>
        <c:spPr>
          <a:solidFill>
            <a:schemeClr val="accent1">
              <a:lumMod val="20000"/>
              <a:lumOff val="80000"/>
            </a:schemeClr>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Pie_Chart!$B$3</c:f>
              <c:strCache>
                <c:ptCount val="1"/>
                <c:pt idx="0">
                  <c:v>Total</c:v>
                </c:pt>
              </c:strCache>
            </c:strRef>
          </c:tx>
          <c:dPt>
            <c:idx val="0"/>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3BC-4B5E-BF70-5E3A24809C13}"/>
              </c:ext>
            </c:extLst>
          </c:dPt>
          <c:dPt>
            <c:idx val="1"/>
            <c:bubble3D val="0"/>
            <c:spPr>
              <a:solidFill>
                <a:schemeClr val="accent1">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3BC-4B5E-BF70-5E3A24809C1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3BC-4B5E-BF70-5E3A24809C13}"/>
              </c:ext>
            </c:extLst>
          </c:dPt>
          <c:cat>
            <c:strRef>
              <c:f>Pie_Chart!$A$4:$A$7</c:f>
              <c:strCache>
                <c:ptCount val="3"/>
                <c:pt idx="0">
                  <c:v>Declined</c:v>
                </c:pt>
                <c:pt idx="1">
                  <c:v>Improved</c:v>
                </c:pt>
                <c:pt idx="2">
                  <c:v>Same</c:v>
                </c:pt>
              </c:strCache>
            </c:strRef>
          </c:cat>
          <c:val>
            <c:numRef>
              <c:f>Pie_Chart!$B$4:$B$7</c:f>
              <c:numCache>
                <c:formatCode>General</c:formatCode>
                <c:ptCount val="3"/>
                <c:pt idx="0">
                  <c:v>484</c:v>
                </c:pt>
                <c:pt idx="1">
                  <c:v>507</c:v>
                </c:pt>
                <c:pt idx="2">
                  <c:v>9</c:v>
                </c:pt>
              </c:numCache>
            </c:numRef>
          </c:val>
          <c:extLst>
            <c:ext xmlns:c16="http://schemas.microsoft.com/office/drawing/2014/chart" uri="{C3380CC4-5D6E-409C-BE32-E72D297353CC}">
              <c16:uniqueId val="{00000006-73BC-4B5E-BF70-5E3A24809C1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[Excel_Project.xlsx]Bar_Chart!PivotTable4</c:name>
    <c:fmtId val="2"/>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IN" sz="1100" b="1">
                <a:latin typeface="Candara" panose="020E0502030303020204" pitchFamily="34" charset="0"/>
              </a:rPr>
              <a:t>HSC Score by Parent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Bar_Chart!$B$3</c:f>
              <c:strCache>
                <c:ptCount val="1"/>
                <c:pt idx="0">
                  <c:v>Total</c:v>
                </c:pt>
              </c:strCache>
            </c:strRef>
          </c:tx>
          <c:spPr>
            <a:solidFill>
              <a:schemeClr val="accent4">
                <a:lumMod val="75000"/>
              </a:schemeClr>
            </a:solidFill>
            <a:ln>
              <a:noFill/>
            </a:ln>
            <a:effectLst/>
          </c:spPr>
          <c:invertIfNegative val="0"/>
          <c:cat>
            <c:strRef>
              <c:f>Bar_Chart!$A$4:$A$8</c:f>
              <c:strCache>
                <c:ptCount val="4"/>
                <c:pt idx="0">
                  <c:v>Graduate</c:v>
                </c:pt>
                <c:pt idx="1">
                  <c:v>Higher Secondary</c:v>
                </c:pt>
                <c:pt idx="2">
                  <c:v>Primary</c:v>
                </c:pt>
                <c:pt idx="3">
                  <c:v>Secondary</c:v>
                </c:pt>
              </c:strCache>
            </c:strRef>
          </c:cat>
          <c:val>
            <c:numRef>
              <c:f>Bar_Chart!$B$4:$B$8</c:f>
              <c:numCache>
                <c:formatCode>General</c:formatCode>
                <c:ptCount val="4"/>
                <c:pt idx="0">
                  <c:v>4.0007490636704128</c:v>
                </c:pt>
                <c:pt idx="1">
                  <c:v>4.0345418326693236</c:v>
                </c:pt>
                <c:pt idx="2">
                  <c:v>3.9636170212765989</c:v>
                </c:pt>
                <c:pt idx="3">
                  <c:v>4.0497570850202447</c:v>
                </c:pt>
              </c:numCache>
            </c:numRef>
          </c:val>
          <c:extLst>
            <c:ext xmlns:c16="http://schemas.microsoft.com/office/drawing/2014/chart" uri="{C3380CC4-5D6E-409C-BE32-E72D297353CC}">
              <c16:uniqueId val="{00000000-B6D3-47D1-A4E3-B9FCD21049E8}"/>
            </c:ext>
          </c:extLst>
        </c:ser>
        <c:dLbls>
          <c:showLegendKey val="0"/>
          <c:showVal val="0"/>
          <c:showCatName val="0"/>
          <c:showSerName val="0"/>
          <c:showPercent val="0"/>
          <c:showBubbleSize val="0"/>
        </c:dLbls>
        <c:gapWidth val="182"/>
        <c:axId val="1945897712"/>
        <c:axId val="1945898192"/>
      </c:barChart>
      <c:catAx>
        <c:axId val="194589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945898192"/>
        <c:crosses val="autoZero"/>
        <c:auto val="1"/>
        <c:lblAlgn val="ctr"/>
        <c:lblOffset val="100"/>
        <c:noMultiLvlLbl val="0"/>
      </c:catAx>
      <c:valAx>
        <c:axId val="194589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194589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11</xdr:col>
      <xdr:colOff>298450</xdr:colOff>
      <xdr:row>2</xdr:row>
      <xdr:rowOff>133351</xdr:rowOff>
    </xdr:from>
    <xdr:to>
      <xdr:col>14</xdr:col>
      <xdr:colOff>298450</xdr:colOff>
      <xdr:row>7</xdr:row>
      <xdr:rowOff>152400</xdr:rowOff>
    </xdr:to>
    <mc:AlternateContent xmlns:mc="http://schemas.openxmlformats.org/markup-compatibility/2006" xmlns:a14="http://schemas.microsoft.com/office/drawing/2010/main">
      <mc:Choice Requires="a14">
        <xdr:graphicFrame macro="">
          <xdr:nvGraphicFramePr>
            <xdr:cNvPr id="3" name="School_Type">
              <a:extLst>
                <a:ext uri="{FF2B5EF4-FFF2-40B4-BE49-F238E27FC236}">
                  <a16:creationId xmlns:a16="http://schemas.microsoft.com/office/drawing/2014/main" id="{BC1A1812-E47B-9A76-18A3-FDABFCB3A445}"/>
                </a:ext>
              </a:extLst>
            </xdr:cNvPr>
            <xdr:cNvGraphicFramePr/>
          </xdr:nvGraphicFramePr>
          <xdr:xfrm>
            <a:off x="0" y="0"/>
            <a:ext cx="0" cy="0"/>
          </xdr:xfrm>
          <a:graphic>
            <a:graphicData uri="http://schemas.microsoft.com/office/drawing/2010/slicer">
              <sle:slicer xmlns:sle="http://schemas.microsoft.com/office/drawing/2010/slicer" name="School_Type"/>
            </a:graphicData>
          </a:graphic>
        </xdr:graphicFrame>
      </mc:Choice>
      <mc:Fallback xmlns="">
        <xdr:sp macro="" textlink="">
          <xdr:nvSpPr>
            <xdr:cNvPr id="0" name=""/>
            <xdr:cNvSpPr>
              <a:spLocks noTextEdit="1"/>
            </xdr:cNvSpPr>
          </xdr:nvSpPr>
          <xdr:spPr>
            <a:xfrm>
              <a:off x="8166100" y="501651"/>
              <a:ext cx="1828800" cy="939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xdr:colOff>
      <xdr:row>2</xdr:row>
      <xdr:rowOff>6350</xdr:rowOff>
    </xdr:from>
    <xdr:to>
      <xdr:col>11</xdr:col>
      <xdr:colOff>114300</xdr:colOff>
      <xdr:row>17</xdr:row>
      <xdr:rowOff>127000</xdr:rowOff>
    </xdr:to>
    <xdr:graphicFrame macro="">
      <xdr:nvGraphicFramePr>
        <xdr:cNvPr id="5" name="Chart 4">
          <a:extLst>
            <a:ext uri="{FF2B5EF4-FFF2-40B4-BE49-F238E27FC236}">
              <a16:creationId xmlns:a16="http://schemas.microsoft.com/office/drawing/2014/main" id="{22146288-9C40-44F6-B095-C0BB9DAAE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234950</xdr:colOff>
      <xdr:row>1</xdr:row>
      <xdr:rowOff>177800</xdr:rowOff>
    </xdr:from>
    <xdr:to>
      <xdr:col>11</xdr:col>
      <xdr:colOff>558800</xdr:colOff>
      <xdr:row>15</xdr:row>
      <xdr:rowOff>177800</xdr:rowOff>
    </xdr:to>
    <xdr:graphicFrame macro="">
      <xdr:nvGraphicFramePr>
        <xdr:cNvPr id="3" name="Chart 2">
          <a:extLst>
            <a:ext uri="{FF2B5EF4-FFF2-40B4-BE49-F238E27FC236}">
              <a16:creationId xmlns:a16="http://schemas.microsoft.com/office/drawing/2014/main" id="{253AEA05-C400-45BB-84E0-AE893B5BE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6350</xdr:colOff>
      <xdr:row>1</xdr:row>
      <xdr:rowOff>171450</xdr:rowOff>
    </xdr:from>
    <xdr:to>
      <xdr:col>11</xdr:col>
      <xdr:colOff>247650</xdr:colOff>
      <xdr:row>16</xdr:row>
      <xdr:rowOff>76200</xdr:rowOff>
    </xdr:to>
    <xdr:graphicFrame macro="">
      <xdr:nvGraphicFramePr>
        <xdr:cNvPr id="4" name="Chart 3">
          <a:extLst>
            <a:ext uri="{FF2B5EF4-FFF2-40B4-BE49-F238E27FC236}">
              <a16:creationId xmlns:a16="http://schemas.microsoft.com/office/drawing/2014/main" id="{FE2DA564-0FEB-408C-A88B-24EF9CD80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393700</xdr:colOff>
      <xdr:row>2</xdr:row>
      <xdr:rowOff>6351</xdr:rowOff>
    </xdr:from>
    <xdr:to>
      <xdr:col>14</xdr:col>
      <xdr:colOff>393700</xdr:colOff>
      <xdr:row>7</xdr:row>
      <xdr:rowOff>69850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B9DDAB-E6F5-47F6-CF2B-5AFA1B8116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80500" y="374651"/>
              <a:ext cx="1828800" cy="984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298450</xdr:colOff>
      <xdr:row>1</xdr:row>
      <xdr:rowOff>171450</xdr:rowOff>
    </xdr:from>
    <xdr:to>
      <xdr:col>11</xdr:col>
      <xdr:colOff>215900</xdr:colOff>
      <xdr:row>16</xdr:row>
      <xdr:rowOff>127000</xdr:rowOff>
    </xdr:to>
    <xdr:graphicFrame macro="">
      <xdr:nvGraphicFramePr>
        <xdr:cNvPr id="4" name="Chart 3">
          <a:extLst>
            <a:ext uri="{FF2B5EF4-FFF2-40B4-BE49-F238E27FC236}">
              <a16:creationId xmlns:a16="http://schemas.microsoft.com/office/drawing/2014/main" id="{BB2D36F3-C552-40F0-B72D-5115DCC4B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6350</xdr:colOff>
      <xdr:row>2</xdr:row>
      <xdr:rowOff>0</xdr:rowOff>
    </xdr:from>
    <xdr:to>
      <xdr:col>9</xdr:col>
      <xdr:colOff>171450</xdr:colOff>
      <xdr:row>12</xdr:row>
      <xdr:rowOff>133350</xdr:rowOff>
    </xdr:to>
    <xdr:graphicFrame macro="">
      <xdr:nvGraphicFramePr>
        <xdr:cNvPr id="3" name="Chart 2">
          <a:extLst>
            <a:ext uri="{FF2B5EF4-FFF2-40B4-BE49-F238E27FC236}">
              <a16:creationId xmlns:a16="http://schemas.microsoft.com/office/drawing/2014/main" id="{58D3A913-55F8-431B-8371-26E1C0233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12700</xdr:colOff>
      <xdr:row>3</xdr:row>
      <xdr:rowOff>44450</xdr:rowOff>
    </xdr:from>
    <xdr:to>
      <xdr:col>9</xdr:col>
      <xdr:colOff>31750</xdr:colOff>
      <xdr:row>7</xdr:row>
      <xdr:rowOff>120650</xdr:rowOff>
    </xdr:to>
    <xdr:sp macro="" textlink="">
      <xdr:nvSpPr>
        <xdr:cNvPr id="2" name="Rectangle 1">
          <a:extLst>
            <a:ext uri="{FF2B5EF4-FFF2-40B4-BE49-F238E27FC236}">
              <a16:creationId xmlns:a16="http://schemas.microsoft.com/office/drawing/2014/main" id="{C0602B2A-E3DA-4009-2033-4A90FC1A48BC}"/>
            </a:ext>
          </a:extLst>
        </xdr:cNvPr>
        <xdr:cNvSpPr/>
      </xdr:nvSpPr>
      <xdr:spPr>
        <a:xfrm>
          <a:off x="4641850" y="596900"/>
          <a:ext cx="1847850" cy="927100"/>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603250</xdr:colOff>
      <xdr:row>4</xdr:row>
      <xdr:rowOff>165100</xdr:rowOff>
    </xdr:from>
    <xdr:to>
      <xdr:col>9</xdr:col>
      <xdr:colOff>31750</xdr:colOff>
      <xdr:row>6</xdr:row>
      <xdr:rowOff>69850</xdr:rowOff>
    </xdr:to>
    <xdr:sp macro="" textlink="$D$6">
      <xdr:nvSpPr>
        <xdr:cNvPr id="3" name="TextBox 2">
          <a:extLst>
            <a:ext uri="{FF2B5EF4-FFF2-40B4-BE49-F238E27FC236}">
              <a16:creationId xmlns:a16="http://schemas.microsoft.com/office/drawing/2014/main" id="{D25FA1FA-99B5-E9D6-B710-C81BAF245CEB}"/>
            </a:ext>
          </a:extLst>
        </xdr:cNvPr>
        <xdr:cNvSpPr txBox="1"/>
      </xdr:nvSpPr>
      <xdr:spPr>
        <a:xfrm>
          <a:off x="4622800" y="901700"/>
          <a:ext cx="1866900" cy="3873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9BCAA5-5BC5-40FA-890F-EB7F18CC8357}" type="TxLink">
            <a:rPr lang="en-US" sz="1800" b="1" i="0" u="none" strike="noStrike">
              <a:solidFill>
                <a:srgbClr val="D9E1F2"/>
              </a:solidFill>
              <a:latin typeface="Calibri"/>
              <a:ea typeface="Calibri"/>
              <a:cs typeface="Calibri"/>
            </a:rPr>
            <a:pPr algn="ctr"/>
            <a:t>3.99493</a:t>
          </a:fld>
          <a:endParaRPr lang="en-IN" sz="1100"/>
        </a:p>
      </xdr:txBody>
    </xdr:sp>
    <xdr:clientData/>
  </xdr:twoCellAnchor>
  <xdr:twoCellAnchor>
    <xdr:from>
      <xdr:col>6</xdr:col>
      <xdr:colOff>203200</xdr:colOff>
      <xdr:row>3</xdr:row>
      <xdr:rowOff>88900</xdr:rowOff>
    </xdr:from>
    <xdr:to>
      <xdr:col>8</xdr:col>
      <xdr:colOff>520700</xdr:colOff>
      <xdr:row>4</xdr:row>
      <xdr:rowOff>152400</xdr:rowOff>
    </xdr:to>
    <xdr:sp macro="" textlink="">
      <xdr:nvSpPr>
        <xdr:cNvPr id="5" name="TextBox 4">
          <a:extLst>
            <a:ext uri="{FF2B5EF4-FFF2-40B4-BE49-F238E27FC236}">
              <a16:creationId xmlns:a16="http://schemas.microsoft.com/office/drawing/2014/main" id="{3007621A-E415-66DA-A8C4-66FD8A7D3947}"/>
            </a:ext>
          </a:extLst>
        </xdr:cNvPr>
        <xdr:cNvSpPr txBox="1"/>
      </xdr:nvSpPr>
      <xdr:spPr>
        <a:xfrm>
          <a:off x="4832350" y="641350"/>
          <a:ext cx="1536700" cy="2476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1">
                  <a:lumMod val="75000"/>
                </a:schemeClr>
              </a:solidFill>
              <a:latin typeface="Candara" panose="020E0502030303020204" pitchFamily="34" charset="0"/>
            </a:rPr>
            <a:t>AVERAGE GPA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69850</xdr:colOff>
      <xdr:row>3</xdr:row>
      <xdr:rowOff>63500</xdr:rowOff>
    </xdr:from>
    <xdr:to>
      <xdr:col>9</xdr:col>
      <xdr:colOff>120650</xdr:colOff>
      <xdr:row>9</xdr:row>
      <xdr:rowOff>57150</xdr:rowOff>
    </xdr:to>
    <xdr:sp macro="" textlink="">
      <xdr:nvSpPr>
        <xdr:cNvPr id="2" name="Rectangle 1">
          <a:extLst>
            <a:ext uri="{FF2B5EF4-FFF2-40B4-BE49-F238E27FC236}">
              <a16:creationId xmlns:a16="http://schemas.microsoft.com/office/drawing/2014/main" id="{55FAD902-1381-D406-41AE-406EF7264484}"/>
            </a:ext>
          </a:extLst>
        </xdr:cNvPr>
        <xdr:cNvSpPr/>
      </xdr:nvSpPr>
      <xdr:spPr>
        <a:xfrm>
          <a:off x="3854450" y="615950"/>
          <a:ext cx="2489200" cy="1098550"/>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88900</xdr:colOff>
      <xdr:row>5</xdr:row>
      <xdr:rowOff>146050</xdr:rowOff>
    </xdr:from>
    <xdr:to>
      <xdr:col>9</xdr:col>
      <xdr:colOff>127000</xdr:colOff>
      <xdr:row>7</xdr:row>
      <xdr:rowOff>76200</xdr:rowOff>
    </xdr:to>
    <xdr:sp macro="" textlink="$D$4">
      <xdr:nvSpPr>
        <xdr:cNvPr id="3" name="TextBox 2">
          <a:extLst>
            <a:ext uri="{FF2B5EF4-FFF2-40B4-BE49-F238E27FC236}">
              <a16:creationId xmlns:a16="http://schemas.microsoft.com/office/drawing/2014/main" id="{61D8B9A7-663D-11A9-5BED-0E301D393A92}"/>
            </a:ext>
          </a:extLst>
        </xdr:cNvPr>
        <xdr:cNvSpPr txBox="1"/>
      </xdr:nvSpPr>
      <xdr:spPr>
        <a:xfrm>
          <a:off x="3873500" y="1066800"/>
          <a:ext cx="2476500" cy="29845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F86504-53D5-4423-95B5-9B2313C329DC}" type="TxLink">
            <a:rPr lang="en-US" sz="1600" b="1" i="0" u="none" strike="noStrike">
              <a:solidFill>
                <a:schemeClr val="bg2"/>
              </a:solidFill>
              <a:latin typeface="Calibri"/>
              <a:ea typeface="Calibri"/>
              <a:cs typeface="Calibri"/>
            </a:rPr>
            <a:pPr algn="ctr"/>
            <a:t>4.25692</a:t>
          </a:fld>
          <a:endParaRPr lang="en-IN" sz="1600" b="1">
            <a:solidFill>
              <a:schemeClr val="bg2"/>
            </a:solidFill>
          </a:endParaRPr>
        </a:p>
      </xdr:txBody>
    </xdr:sp>
    <xdr:clientData/>
  </xdr:twoCellAnchor>
  <xdr:twoCellAnchor>
    <xdr:from>
      <xdr:col>5</xdr:col>
      <xdr:colOff>279400</xdr:colOff>
      <xdr:row>3</xdr:row>
      <xdr:rowOff>88900</xdr:rowOff>
    </xdr:from>
    <xdr:to>
      <xdr:col>8</xdr:col>
      <xdr:colOff>527050</xdr:colOff>
      <xdr:row>5</xdr:row>
      <xdr:rowOff>57150</xdr:rowOff>
    </xdr:to>
    <xdr:sp macro="" textlink="">
      <xdr:nvSpPr>
        <xdr:cNvPr id="4" name="TextBox 3">
          <a:extLst>
            <a:ext uri="{FF2B5EF4-FFF2-40B4-BE49-F238E27FC236}">
              <a16:creationId xmlns:a16="http://schemas.microsoft.com/office/drawing/2014/main" id="{084502EF-F703-D132-553A-68ACF53BE6F6}"/>
            </a:ext>
          </a:extLst>
        </xdr:cNvPr>
        <xdr:cNvSpPr txBox="1"/>
      </xdr:nvSpPr>
      <xdr:spPr>
        <a:xfrm>
          <a:off x="4064000" y="641350"/>
          <a:ext cx="2076450" cy="3365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latin typeface="Candara" panose="020E0502030303020204" pitchFamily="34" charset="0"/>
            </a:rPr>
            <a:t>AVERAGE SSC SCORE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349250</xdr:colOff>
      <xdr:row>13</xdr:row>
      <xdr:rowOff>50800</xdr:rowOff>
    </xdr:from>
    <xdr:to>
      <xdr:col>12</xdr:col>
      <xdr:colOff>596900</xdr:colOff>
      <xdr:row>22</xdr:row>
      <xdr:rowOff>95250</xdr:rowOff>
    </xdr:to>
    <xdr:graphicFrame macro="">
      <xdr:nvGraphicFramePr>
        <xdr:cNvPr id="2" name="Chart 1">
          <a:extLst>
            <a:ext uri="{FF2B5EF4-FFF2-40B4-BE49-F238E27FC236}">
              <a16:creationId xmlns:a16="http://schemas.microsoft.com/office/drawing/2014/main" id="{2BD50DAE-0B47-46EE-B4CB-DD0AEC844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285750</xdr:colOff>
      <xdr:row>2</xdr:row>
      <xdr:rowOff>31750</xdr:rowOff>
    </xdr:from>
    <xdr:to>
      <xdr:col>19</xdr:col>
      <xdr:colOff>342900</xdr:colOff>
      <xdr:row>12</xdr:row>
      <xdr:rowOff>146050</xdr:rowOff>
    </xdr:to>
    <xdr:graphicFrame macro="">
      <xdr:nvGraphicFramePr>
        <xdr:cNvPr id="3" name="Chart 2">
          <a:extLst>
            <a:ext uri="{FF2B5EF4-FFF2-40B4-BE49-F238E27FC236}">
              <a16:creationId xmlns:a16="http://schemas.microsoft.com/office/drawing/2014/main" id="{6B3B3504-D609-4686-A5A3-70C5F1200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69850</xdr:colOff>
      <xdr:row>13</xdr:row>
      <xdr:rowOff>44450</xdr:rowOff>
    </xdr:from>
    <xdr:to>
      <xdr:col>6</xdr:col>
      <xdr:colOff>292100</xdr:colOff>
      <xdr:row>22</xdr:row>
      <xdr:rowOff>95250</xdr:rowOff>
    </xdr:to>
    <xdr:graphicFrame macro="">
      <xdr:nvGraphicFramePr>
        <xdr:cNvPr id="4" name="Chart 3">
          <a:extLst>
            <a:ext uri="{FF2B5EF4-FFF2-40B4-BE49-F238E27FC236}">
              <a16:creationId xmlns:a16="http://schemas.microsoft.com/office/drawing/2014/main" id="{6A4C607A-D4B1-464E-9C9D-BDCA6097C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6350</xdr:colOff>
      <xdr:row>2</xdr:row>
      <xdr:rowOff>31750</xdr:rowOff>
    </xdr:from>
    <xdr:to>
      <xdr:col>8</xdr:col>
      <xdr:colOff>590550</xdr:colOff>
      <xdr:row>12</xdr:row>
      <xdr:rowOff>171450</xdr:rowOff>
    </xdr:to>
    <xdr:graphicFrame macro="">
      <xdr:nvGraphicFramePr>
        <xdr:cNvPr id="5" name="Chart 4">
          <a:extLst>
            <a:ext uri="{FF2B5EF4-FFF2-40B4-BE49-F238E27FC236}">
              <a16:creationId xmlns:a16="http://schemas.microsoft.com/office/drawing/2014/main" id="{A8E054DA-78D8-4F15-B266-8BFB54976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38100</xdr:colOff>
      <xdr:row>13</xdr:row>
      <xdr:rowOff>44450</xdr:rowOff>
    </xdr:from>
    <xdr:to>
      <xdr:col>19</xdr:col>
      <xdr:colOff>330200</xdr:colOff>
      <xdr:row>22</xdr:row>
      <xdr:rowOff>101600</xdr:rowOff>
    </xdr:to>
    <xdr:graphicFrame macro="">
      <xdr:nvGraphicFramePr>
        <xdr:cNvPr id="6" name="Chart 5">
          <a:extLst>
            <a:ext uri="{FF2B5EF4-FFF2-40B4-BE49-F238E27FC236}">
              <a16:creationId xmlns:a16="http://schemas.microsoft.com/office/drawing/2014/main" id="{A7309016-FF83-4F07-AA86-636257C7C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450850</xdr:colOff>
      <xdr:row>0</xdr:row>
      <xdr:rowOff>44450</xdr:rowOff>
    </xdr:from>
    <xdr:ext cx="8083550" cy="405432"/>
    <xdr:sp macro="" textlink="">
      <xdr:nvSpPr>
        <xdr:cNvPr id="7" name="TextBox 6">
          <a:extLst>
            <a:ext uri="{FF2B5EF4-FFF2-40B4-BE49-F238E27FC236}">
              <a16:creationId xmlns:a16="http://schemas.microsoft.com/office/drawing/2014/main" id="{31657CCC-E017-2D84-D206-E444CF577218}"/>
            </a:ext>
          </a:extLst>
        </xdr:cNvPr>
        <xdr:cNvSpPr txBox="1"/>
      </xdr:nvSpPr>
      <xdr:spPr>
        <a:xfrm>
          <a:off x="2889250" y="44450"/>
          <a:ext cx="808355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0" i="1" cap="none" spc="0">
              <a:ln w="0"/>
              <a:solidFill>
                <a:schemeClr val="accent1">
                  <a:lumMod val="50000"/>
                </a:schemeClr>
              </a:solidFill>
              <a:effectLst>
                <a:outerShdw blurRad="50800" dist="38100" dir="2700000" algn="tl" rotWithShape="0">
                  <a:prstClr val="black">
                    <a:alpha val="40000"/>
                  </a:prstClr>
                </a:outerShdw>
              </a:effectLst>
              <a:latin typeface="Candara" panose="020E0502030303020204" pitchFamily="34" charset="0"/>
            </a:rPr>
            <a:t>STUDENT PERFORMANCE</a:t>
          </a:r>
          <a:r>
            <a:rPr lang="en-IN" sz="2000" b="0" i="1" cap="none" spc="0" baseline="0">
              <a:ln w="0"/>
              <a:solidFill>
                <a:schemeClr val="accent1">
                  <a:lumMod val="50000"/>
                </a:schemeClr>
              </a:solidFill>
              <a:effectLst>
                <a:outerShdw blurRad="50800" dist="38100" dir="2700000" algn="tl" rotWithShape="0">
                  <a:prstClr val="black">
                    <a:alpha val="40000"/>
                  </a:prstClr>
                </a:outerShdw>
              </a:effectLst>
              <a:latin typeface="Candara" panose="020E0502030303020204" pitchFamily="34" charset="0"/>
            </a:rPr>
            <a:t> ANALYSIS DASHBOARD - BANGLADESH</a:t>
          </a:r>
          <a:endParaRPr lang="en-IN" sz="2000" b="0" i="1" cap="none" spc="0">
            <a:ln w="0"/>
            <a:solidFill>
              <a:schemeClr val="accent1">
                <a:lumMod val="50000"/>
              </a:schemeClr>
            </a:solidFill>
            <a:effectLst>
              <a:outerShdw blurRad="50800" dist="38100" dir="2700000" algn="tl" rotWithShape="0">
                <a:prstClr val="black">
                  <a:alpha val="40000"/>
                </a:prstClr>
              </a:outerShdw>
            </a:effectLst>
            <a:latin typeface="Candara" panose="020E0502030303020204" pitchFamily="34" charset="0"/>
          </a:endParaRPr>
        </a:p>
      </xdr:txBody>
    </xdr:sp>
    <xdr:clientData/>
  </xdr:oneCellAnchor>
  <xdr:twoCellAnchor editAs="oneCell">
    <xdr:from>
      <xdr:col>0</xdr:col>
      <xdr:colOff>76200</xdr:colOff>
      <xdr:row>2</xdr:row>
      <xdr:rowOff>31750</xdr:rowOff>
    </xdr:from>
    <xdr:to>
      <xdr:col>2</xdr:col>
      <xdr:colOff>546100</xdr:colOff>
      <xdr:row>7</xdr:row>
      <xdr:rowOff>69850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3E57ECD8-090F-4180-9420-70CF2D7E57E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6200" y="400050"/>
              <a:ext cx="16891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7</xdr:row>
      <xdr:rowOff>114300</xdr:rowOff>
    </xdr:from>
    <xdr:to>
      <xdr:col>2</xdr:col>
      <xdr:colOff>533400</xdr:colOff>
      <xdr:row>12</xdr:row>
      <xdr:rowOff>158750</xdr:rowOff>
    </xdr:to>
    <mc:AlternateContent xmlns:mc="http://schemas.openxmlformats.org/markup-compatibility/2006" xmlns:a14="http://schemas.microsoft.com/office/drawing/2010/main">
      <mc:Choice Requires="a14">
        <xdr:graphicFrame macro="">
          <xdr:nvGraphicFramePr>
            <xdr:cNvPr id="9" name="School_Type 1">
              <a:extLst>
                <a:ext uri="{FF2B5EF4-FFF2-40B4-BE49-F238E27FC236}">
                  <a16:creationId xmlns:a16="http://schemas.microsoft.com/office/drawing/2014/main" id="{CC49BB4A-8FD3-4758-BC82-D7D6DBFBD4FF}"/>
                </a:ext>
              </a:extLst>
            </xdr:cNvPr>
            <xdr:cNvGraphicFramePr/>
          </xdr:nvGraphicFramePr>
          <xdr:xfrm>
            <a:off x="0" y="0"/>
            <a:ext cx="0" cy="0"/>
          </xdr:xfrm>
          <a:graphic>
            <a:graphicData uri="http://schemas.microsoft.com/office/drawing/2010/slicer">
              <sle:slicer xmlns:sle="http://schemas.microsoft.com/office/drawing/2010/slicer" name="School_Type 1"/>
            </a:graphicData>
          </a:graphic>
        </xdr:graphicFrame>
      </mc:Choice>
      <mc:Fallback xmlns="">
        <xdr:sp macro="" textlink="">
          <xdr:nvSpPr>
            <xdr:cNvPr id="0" name=""/>
            <xdr:cNvSpPr>
              <a:spLocks noTextEdit="1"/>
            </xdr:cNvSpPr>
          </xdr:nvSpPr>
          <xdr:spPr>
            <a:xfrm>
              <a:off x="69850" y="1403350"/>
              <a:ext cx="168275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44450</xdr:colOff>
      <xdr:row>2</xdr:row>
      <xdr:rowOff>25400</xdr:rowOff>
    </xdr:from>
    <xdr:to>
      <xdr:col>13</xdr:col>
      <xdr:colOff>196850</xdr:colOff>
      <xdr:row>7</xdr:row>
      <xdr:rowOff>31750</xdr:rowOff>
    </xdr:to>
    <xdr:sp macro="" textlink="">
      <xdr:nvSpPr>
        <xdr:cNvPr id="26" name="Rectangle 25">
          <a:extLst>
            <a:ext uri="{FF2B5EF4-FFF2-40B4-BE49-F238E27FC236}">
              <a16:creationId xmlns:a16="http://schemas.microsoft.com/office/drawing/2014/main" id="{4B6B148D-8BE9-4417-A9EA-03AD53C8D566}"/>
            </a:ext>
          </a:extLst>
        </xdr:cNvPr>
        <xdr:cNvSpPr/>
      </xdr:nvSpPr>
      <xdr:spPr>
        <a:xfrm>
          <a:off x="5530850" y="393700"/>
          <a:ext cx="2590800" cy="927100"/>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44450</xdr:colOff>
      <xdr:row>3</xdr:row>
      <xdr:rowOff>146050</xdr:rowOff>
    </xdr:from>
    <xdr:to>
      <xdr:col>13</xdr:col>
      <xdr:colOff>196850</xdr:colOff>
      <xdr:row>5</xdr:row>
      <xdr:rowOff>165100</xdr:rowOff>
    </xdr:to>
    <xdr:sp macro="" textlink="KPI_GPA!B1004">
      <xdr:nvSpPr>
        <xdr:cNvPr id="27" name="TextBox 26">
          <a:extLst>
            <a:ext uri="{FF2B5EF4-FFF2-40B4-BE49-F238E27FC236}">
              <a16:creationId xmlns:a16="http://schemas.microsoft.com/office/drawing/2014/main" id="{7D9E8A2A-0B36-4B7B-AFC9-C53AC722A67E}"/>
            </a:ext>
          </a:extLst>
        </xdr:cNvPr>
        <xdr:cNvSpPr txBox="1"/>
      </xdr:nvSpPr>
      <xdr:spPr>
        <a:xfrm>
          <a:off x="5528541" y="704080"/>
          <a:ext cx="2589774" cy="391071"/>
        </a:xfrm>
        <a:prstGeom prst="rect">
          <a:avLst/>
        </a:prstGeom>
        <a:solidFill>
          <a:schemeClr val="accent1">
            <a:lumMod val="75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22CEE8-6F77-437E-8C38-F51F1B755229}" type="TxLink">
            <a:rPr lang="en-US" sz="1600" b="1" i="0" u="none" strike="noStrike">
              <a:solidFill>
                <a:srgbClr val="D9E1F2"/>
              </a:solidFill>
              <a:latin typeface="Calibri"/>
              <a:ea typeface="Calibri"/>
              <a:cs typeface="Calibri"/>
            </a:rPr>
            <a:pPr algn="ctr"/>
            <a:t>3.99493</a:t>
          </a:fld>
          <a:endParaRPr lang="en-US" u="none"/>
        </a:p>
      </xdr:txBody>
    </xdr:sp>
    <xdr:clientData/>
  </xdr:twoCellAnchor>
  <xdr:twoCellAnchor>
    <xdr:from>
      <xdr:col>9</xdr:col>
      <xdr:colOff>577850</xdr:colOff>
      <xdr:row>2</xdr:row>
      <xdr:rowOff>69850</xdr:rowOff>
    </xdr:from>
    <xdr:to>
      <xdr:col>12</xdr:col>
      <xdr:colOff>285750</xdr:colOff>
      <xdr:row>3</xdr:row>
      <xdr:rowOff>133350</xdr:rowOff>
    </xdr:to>
    <xdr:sp macro="" textlink="">
      <xdr:nvSpPr>
        <xdr:cNvPr id="28" name="TextBox 27">
          <a:extLst>
            <a:ext uri="{FF2B5EF4-FFF2-40B4-BE49-F238E27FC236}">
              <a16:creationId xmlns:a16="http://schemas.microsoft.com/office/drawing/2014/main" id="{73A0F92D-7A8B-40EA-ADCB-FCE013291A04}"/>
            </a:ext>
          </a:extLst>
        </xdr:cNvPr>
        <xdr:cNvSpPr txBox="1"/>
      </xdr:nvSpPr>
      <xdr:spPr>
        <a:xfrm>
          <a:off x="6064250" y="438150"/>
          <a:ext cx="1536700" cy="2476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75000"/>
                </a:schemeClr>
              </a:solidFill>
              <a:latin typeface="Candara" panose="020E0502030303020204" pitchFamily="34" charset="0"/>
            </a:rPr>
            <a:t>AVERAGE GPA</a:t>
          </a:r>
        </a:p>
      </xdr:txBody>
    </xdr:sp>
    <xdr:clientData/>
  </xdr:twoCellAnchor>
  <xdr:twoCellAnchor>
    <xdr:from>
      <xdr:col>9</xdr:col>
      <xdr:colOff>57150</xdr:colOff>
      <xdr:row>7</xdr:row>
      <xdr:rowOff>69850</xdr:rowOff>
    </xdr:from>
    <xdr:to>
      <xdr:col>13</xdr:col>
      <xdr:colOff>203200</xdr:colOff>
      <xdr:row>12</xdr:row>
      <xdr:rowOff>158750</xdr:rowOff>
    </xdr:to>
    <xdr:sp macro="" textlink="">
      <xdr:nvSpPr>
        <xdr:cNvPr id="30" name="Rectangle 29">
          <a:extLst>
            <a:ext uri="{FF2B5EF4-FFF2-40B4-BE49-F238E27FC236}">
              <a16:creationId xmlns:a16="http://schemas.microsoft.com/office/drawing/2014/main" id="{E6312DAD-F50E-4D6E-92D4-84CBDF6BC239}"/>
            </a:ext>
          </a:extLst>
        </xdr:cNvPr>
        <xdr:cNvSpPr/>
      </xdr:nvSpPr>
      <xdr:spPr>
        <a:xfrm>
          <a:off x="5543550" y="1358900"/>
          <a:ext cx="2584450" cy="1009650"/>
        </a:xfrm>
        <a:prstGeom prst="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57150</xdr:colOff>
      <xdr:row>9</xdr:row>
      <xdr:rowOff>57150</xdr:rowOff>
    </xdr:from>
    <xdr:to>
      <xdr:col>13</xdr:col>
      <xdr:colOff>209550</xdr:colOff>
      <xdr:row>11</xdr:row>
      <xdr:rowOff>82550</xdr:rowOff>
    </xdr:to>
    <xdr:sp macro="" textlink="$D$4">
      <xdr:nvSpPr>
        <xdr:cNvPr id="31" name="TextBox 30">
          <a:extLst>
            <a:ext uri="{FF2B5EF4-FFF2-40B4-BE49-F238E27FC236}">
              <a16:creationId xmlns:a16="http://schemas.microsoft.com/office/drawing/2014/main" id="{8B7345F9-538A-4A0F-AC71-0F4C258066C6}"/>
            </a:ext>
          </a:extLst>
        </xdr:cNvPr>
        <xdr:cNvSpPr txBox="1"/>
      </xdr:nvSpPr>
      <xdr:spPr>
        <a:xfrm>
          <a:off x="5543550" y="1714500"/>
          <a:ext cx="2590800" cy="393700"/>
        </a:xfrm>
        <a:prstGeom prst="rect">
          <a:avLst/>
        </a:prstGeom>
        <a:solidFill>
          <a:schemeClr val="accent1">
            <a:lumMod val="75000"/>
          </a:schemeClr>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a:solidFill>
                <a:schemeClr val="accent1">
                  <a:lumMod val="20000"/>
                  <a:lumOff val="80000"/>
                </a:schemeClr>
              </a:solidFill>
              <a:effectLst/>
              <a:latin typeface="+mn-lt"/>
              <a:ea typeface="+mn-ea"/>
              <a:cs typeface="+mn-cs"/>
            </a:rPr>
            <a:t>4.25692</a:t>
          </a:r>
          <a:fld id="{56A6CD77-87EE-4E7E-B9E2-EFE6DBF50B3B}" type="TxLink">
            <a:rPr lang="en-US" sz="1600" b="1" i="0" u="none" strike="noStrike">
              <a:solidFill>
                <a:schemeClr val="accent1">
                  <a:lumMod val="20000"/>
                  <a:lumOff val="80000"/>
                </a:schemeClr>
              </a:solidFill>
              <a:latin typeface="Calibri"/>
              <a:ea typeface="Calibri"/>
              <a:cs typeface="Calibri"/>
            </a:rPr>
            <a:pPr algn="ctr"/>
            <a:t> </a:t>
          </a:fld>
          <a:endParaRPr lang="en-IN" sz="1600" b="1">
            <a:solidFill>
              <a:schemeClr val="accent1">
                <a:lumMod val="20000"/>
                <a:lumOff val="80000"/>
              </a:schemeClr>
            </a:solidFill>
          </a:endParaRPr>
        </a:p>
      </xdr:txBody>
    </xdr:sp>
    <xdr:clientData/>
  </xdr:twoCellAnchor>
  <xdr:twoCellAnchor>
    <xdr:from>
      <xdr:col>9</xdr:col>
      <xdr:colOff>266700</xdr:colOff>
      <xdr:row>7</xdr:row>
      <xdr:rowOff>95250</xdr:rowOff>
    </xdr:from>
    <xdr:to>
      <xdr:col>12</xdr:col>
      <xdr:colOff>514350</xdr:colOff>
      <xdr:row>9</xdr:row>
      <xdr:rowOff>38100</xdr:rowOff>
    </xdr:to>
    <xdr:sp macro="" textlink="">
      <xdr:nvSpPr>
        <xdr:cNvPr id="32" name="TextBox 31">
          <a:extLst>
            <a:ext uri="{FF2B5EF4-FFF2-40B4-BE49-F238E27FC236}">
              <a16:creationId xmlns:a16="http://schemas.microsoft.com/office/drawing/2014/main" id="{57234FCE-1760-4875-9E7B-4204CBD27C16}"/>
            </a:ext>
          </a:extLst>
        </xdr:cNvPr>
        <xdr:cNvSpPr txBox="1"/>
      </xdr:nvSpPr>
      <xdr:spPr>
        <a:xfrm>
          <a:off x="5753100" y="1384300"/>
          <a:ext cx="2076450" cy="31115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75000"/>
                </a:schemeClr>
              </a:solidFill>
              <a:latin typeface="Candara" panose="020E0502030303020204" pitchFamily="34" charset="0"/>
            </a:rPr>
            <a:t>AVERAGE SSC SCORE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6.398569097226" createdVersion="8" refreshedVersion="8" minRefreshableVersion="3" recordCount="1000" xr:uid="{E3232BFD-ACFB-47B0-8020-0FC028C75C5C}">
  <cacheSource type="worksheet">
    <worksheetSource name="bangladesh_student_performance"/>
  </cacheSource>
  <cacheFields count="17">
    <cacheField name="Studen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Gender" numFmtId="0">
      <sharedItems count="2">
        <s v="Male"/>
        <s v="Female"/>
      </sharedItems>
    </cacheField>
    <cacheField name="Age" numFmtId="0">
      <sharedItems containsSemiMixedTypes="0" containsString="0" containsNumber="1" containsInteger="1" minValue="15" maxValue="18"/>
    </cacheField>
    <cacheField name="District" numFmtId="0">
      <sharedItems count="8">
        <s v="Rangpur"/>
        <s v="Rajshahi"/>
        <s v="Barisal"/>
        <s v="Mymensingh"/>
        <s v="Sylhet"/>
        <s v="Khulna"/>
        <s v="Dhaka"/>
        <s v="Chattogram"/>
      </sharedItems>
    </cacheField>
    <cacheField name="School_Type" numFmtId="0">
      <sharedItems count="2">
        <s v="Private"/>
        <s v="Public"/>
      </sharedItems>
    </cacheField>
    <cacheField name="Study_Hours" numFmtId="0">
      <sharedItems containsSemiMixedTypes="0" containsString="0" containsNumber="1" containsInteger="1" minValue="5" maxValue="29"/>
    </cacheField>
    <cacheField name="Attendance" numFmtId="0">
      <sharedItems containsSemiMixedTypes="0" containsString="0" containsNumber="1" minValue="0.6" maxValue="0.99" count="40">
        <n v="0.7"/>
        <n v="0.76"/>
        <n v="0.63"/>
        <n v="0.84"/>
        <n v="0.89"/>
        <n v="0.68"/>
        <n v="0.8"/>
        <n v="0.79"/>
        <n v="0.78"/>
        <n v="0.71"/>
        <n v="0.96"/>
        <n v="0.98"/>
        <n v="0.87"/>
        <n v="0.94"/>
        <n v="0.77"/>
        <n v="0.73"/>
        <n v="0.66"/>
        <n v="0.72"/>
        <n v="0.95"/>
        <n v="0.9"/>
        <n v="0.61"/>
        <n v="0.75"/>
        <n v="0.97"/>
        <n v="0.81"/>
        <n v="0.92"/>
        <n v="0.82"/>
        <n v="0.93"/>
        <n v="0.83"/>
        <n v="0.67"/>
        <n v="0.62"/>
        <n v="0.65"/>
        <n v="0.99"/>
        <n v="0.6"/>
        <n v="0.69"/>
        <n v="0.88"/>
        <n v="0.85"/>
        <n v="0.86"/>
        <n v="0.91"/>
        <n v="0.74"/>
        <n v="0.64"/>
      </sharedItems>
    </cacheField>
    <cacheField name="Parent_Education" numFmtId="0">
      <sharedItems count="4">
        <s v="Graduate"/>
        <s v="Primary"/>
        <s v="Higher Secondary"/>
        <s v="Secondary"/>
      </sharedItems>
    </cacheField>
    <cacheField name="Family_Income" numFmtId="0">
      <sharedItems containsSemiMixedTypes="0" containsString="0" containsNumber="1" containsInteger="1" minValue="10016" maxValue="59767" count="990">
        <n v="49169"/>
        <n v="57947"/>
        <n v="57224"/>
        <n v="55865"/>
        <n v="35553"/>
        <n v="48965"/>
        <n v="48218"/>
        <n v="35359"/>
        <n v="34816"/>
        <n v="18378"/>
        <n v="11881"/>
        <n v="49567"/>
        <n v="57365"/>
        <n v="23675"/>
        <n v="14586"/>
        <n v="35006"/>
        <n v="51198"/>
        <n v="32831"/>
        <n v="45113"/>
        <n v="26459"/>
        <n v="42443"/>
        <n v="52316"/>
        <n v="40595"/>
        <n v="15877"/>
        <n v="49553"/>
        <n v="58601"/>
        <n v="14922"/>
        <n v="14686"/>
        <n v="42766"/>
        <n v="24407"/>
        <n v="42006"/>
        <n v="41422"/>
        <n v="22205"/>
        <n v="31054"/>
        <n v="33527"/>
        <n v="55947"/>
        <n v="28443"/>
        <n v="26524"/>
        <n v="38202"/>
        <n v="10016"/>
        <n v="56142"/>
        <n v="26848"/>
        <n v="30855"/>
        <n v="28211"/>
        <n v="35095"/>
        <n v="48724"/>
        <n v="59241"/>
        <n v="47583"/>
        <n v="12843"/>
        <n v="39301"/>
        <n v="36460"/>
        <n v="41918"/>
        <n v="38747"/>
        <n v="25972"/>
        <n v="38310"/>
        <n v="32927"/>
        <n v="11094"/>
        <n v="48892"/>
        <n v="44172"/>
        <n v="33324"/>
        <n v="30674"/>
        <n v="13982"/>
        <n v="55283"/>
        <n v="25790"/>
        <n v="34338"/>
        <n v="22748"/>
        <n v="31097"/>
        <n v="13092"/>
        <n v="32692"/>
        <n v="33862"/>
        <n v="34860"/>
        <n v="23971"/>
        <n v="24616"/>
        <n v="14933"/>
        <n v="14926"/>
        <n v="35763"/>
        <n v="13969"/>
        <n v="45733"/>
        <n v="14319"/>
        <n v="51743"/>
        <n v="49876"/>
        <n v="51909"/>
        <n v="30323"/>
        <n v="26428"/>
        <n v="44578"/>
        <n v="30950"/>
        <n v="53041"/>
        <n v="51789"/>
        <n v="28293"/>
        <n v="16364"/>
        <n v="45349"/>
        <n v="10691"/>
        <n v="40062"/>
        <n v="10931"/>
        <n v="55896"/>
        <n v="41730"/>
        <n v="24226"/>
        <n v="23861"/>
        <n v="41301"/>
        <n v="58243"/>
        <n v="32766"/>
        <n v="46174"/>
        <n v="51107"/>
        <n v="27695"/>
        <n v="51347"/>
        <n v="13121"/>
        <n v="28257"/>
        <n v="38164"/>
        <n v="35491"/>
        <n v="33165"/>
        <n v="58714"/>
        <n v="13748"/>
        <n v="43045"/>
        <n v="36553"/>
        <n v="54331"/>
        <n v="40497"/>
        <n v="41308"/>
        <n v="49560"/>
        <n v="56686"/>
        <n v="20374"/>
        <n v="14675"/>
        <n v="11170"/>
        <n v="51449"/>
        <n v="53485"/>
        <n v="22450"/>
        <n v="20680"/>
        <n v="20068"/>
        <n v="45230"/>
        <n v="56418"/>
        <n v="36206"/>
        <n v="10287"/>
        <n v="32337"/>
        <n v="30666"/>
        <n v="11161"/>
        <n v="59281"/>
        <n v="45131"/>
        <n v="34535"/>
        <n v="42528"/>
        <n v="48751"/>
        <n v="26527"/>
        <n v="50975"/>
        <n v="33853"/>
        <n v="24758"/>
        <n v="10244"/>
        <n v="13178"/>
        <n v="41831"/>
        <n v="12176"/>
        <n v="47770"/>
        <n v="43654"/>
        <n v="36627"/>
        <n v="56489"/>
        <n v="54910"/>
        <n v="34881"/>
        <n v="45422"/>
        <n v="21984"/>
        <n v="33776"/>
        <n v="27755"/>
        <n v="17135"/>
        <n v="10320"/>
        <n v="47422"/>
        <n v="38635"/>
        <n v="31684"/>
        <n v="33238"/>
        <n v="31889"/>
        <n v="40313"/>
        <n v="42535"/>
        <n v="58899"/>
        <n v="20770"/>
        <n v="49321"/>
        <n v="30426"/>
        <n v="54327"/>
        <n v="51777"/>
        <n v="56250"/>
        <n v="17498"/>
        <n v="49404"/>
        <n v="50130"/>
        <n v="26395"/>
        <n v="59346"/>
        <n v="12537"/>
        <n v="29226"/>
        <n v="25216"/>
        <n v="28613"/>
        <n v="13009"/>
        <n v="34368"/>
        <n v="39327"/>
        <n v="24209"/>
        <n v="58443"/>
        <n v="25029"/>
        <n v="12077"/>
        <n v="23907"/>
        <n v="46635"/>
        <n v="58920"/>
        <n v="14873"/>
        <n v="18635"/>
        <n v="43065"/>
        <n v="55863"/>
        <n v="51804"/>
        <n v="43783"/>
        <n v="44152"/>
        <n v="51513"/>
        <n v="39092"/>
        <n v="27653"/>
        <n v="42463"/>
        <n v="44028"/>
        <n v="50469"/>
        <n v="30947"/>
        <n v="39978"/>
        <n v="32056"/>
        <n v="39007"/>
        <n v="53169"/>
        <n v="58287"/>
        <n v="54632"/>
        <n v="58449"/>
        <n v="15543"/>
        <n v="31067"/>
        <n v="55256"/>
        <n v="35097"/>
        <n v="52847"/>
        <n v="53512"/>
        <n v="13809"/>
        <n v="32191"/>
        <n v="31267"/>
        <n v="17206"/>
        <n v="31057"/>
        <n v="38992"/>
        <n v="56514"/>
        <n v="25995"/>
        <n v="58803"/>
        <n v="54439"/>
        <n v="23210"/>
        <n v="27793"/>
        <n v="36270"/>
        <n v="15197"/>
        <n v="58321"/>
        <n v="17452"/>
        <n v="51486"/>
        <n v="24859"/>
        <n v="37236"/>
        <n v="41899"/>
        <n v="42083"/>
        <n v="12172"/>
        <n v="55926"/>
        <n v="26663"/>
        <n v="37540"/>
        <n v="29053"/>
        <n v="21085"/>
        <n v="40564"/>
        <n v="34209"/>
        <n v="13981"/>
        <n v="31153"/>
        <n v="15247"/>
        <n v="20553"/>
        <n v="30811"/>
        <n v="39845"/>
        <n v="16135"/>
        <n v="15573"/>
        <n v="23731"/>
        <n v="17189"/>
        <n v="24541"/>
        <n v="53646"/>
        <n v="21087"/>
        <n v="56435"/>
        <n v="12776"/>
        <n v="52079"/>
        <n v="37564"/>
        <n v="38835"/>
        <n v="17697"/>
        <n v="24629"/>
        <n v="18386"/>
        <n v="27046"/>
        <n v="18044"/>
        <n v="19615"/>
        <n v="57802"/>
        <n v="15060"/>
        <n v="20900"/>
        <n v="15581"/>
        <n v="44782"/>
        <n v="30173"/>
        <n v="22997"/>
        <n v="53403"/>
        <n v="56416"/>
        <n v="17148"/>
        <n v="28748"/>
        <n v="24022"/>
        <n v="30013"/>
        <n v="48687"/>
        <n v="25886"/>
        <n v="35256"/>
        <n v="40005"/>
        <n v="16638"/>
        <n v="47419"/>
        <n v="43377"/>
        <n v="50708"/>
        <n v="53116"/>
        <n v="46634"/>
        <n v="26755"/>
        <n v="33382"/>
        <n v="59767"/>
        <n v="32394"/>
        <n v="12253"/>
        <n v="47710"/>
        <n v="55098"/>
        <n v="10864"/>
        <n v="44036"/>
        <n v="50222"/>
        <n v="23666"/>
        <n v="30955"/>
        <n v="55138"/>
        <n v="47997"/>
        <n v="26309"/>
        <n v="14054"/>
        <n v="10935"/>
        <n v="54940"/>
        <n v="32778"/>
        <n v="53298"/>
        <n v="58328"/>
        <n v="58924"/>
        <n v="26709"/>
        <n v="19726"/>
        <n v="50542"/>
        <n v="30245"/>
        <n v="44753"/>
        <n v="24252"/>
        <n v="31316"/>
        <n v="47371"/>
        <n v="29162"/>
        <n v="25960"/>
        <n v="40791"/>
        <n v="52230"/>
        <n v="35216"/>
        <n v="42467"/>
        <n v="56934"/>
        <n v="17754"/>
        <n v="57014"/>
        <n v="14078"/>
        <n v="22853"/>
        <n v="14042"/>
        <n v="59052"/>
        <n v="24389"/>
        <n v="40425"/>
        <n v="12575"/>
        <n v="49522"/>
        <n v="38179"/>
        <n v="44754"/>
        <n v="28624"/>
        <n v="30350"/>
        <n v="36681"/>
        <n v="33988"/>
        <n v="25470"/>
        <n v="34704"/>
        <n v="48736"/>
        <n v="39377"/>
        <n v="38572"/>
        <n v="17493"/>
        <n v="14103"/>
        <n v="44844"/>
        <n v="12994"/>
        <n v="13744"/>
        <n v="57234"/>
        <n v="57291"/>
        <n v="37332"/>
        <n v="15594"/>
        <n v="50299"/>
        <n v="17371"/>
        <n v="57315"/>
        <n v="28028"/>
        <n v="45912"/>
        <n v="23990"/>
        <n v="56851"/>
        <n v="26626"/>
        <n v="30469"/>
        <n v="50722"/>
        <n v="50037"/>
        <n v="17130"/>
        <n v="16828"/>
        <n v="51612"/>
        <n v="56988"/>
        <n v="49099"/>
        <n v="56165"/>
        <n v="27883"/>
        <n v="53059"/>
        <n v="28542"/>
        <n v="52932"/>
        <n v="20450"/>
        <n v="30423"/>
        <n v="12035"/>
        <n v="54231"/>
        <n v="50745"/>
        <n v="27241"/>
        <n v="33154"/>
        <n v="35625"/>
        <n v="54950"/>
        <n v="43066"/>
        <n v="43691"/>
        <n v="23331"/>
        <n v="30690"/>
        <n v="29183"/>
        <n v="49346"/>
        <n v="14875"/>
        <n v="22254"/>
        <n v="38621"/>
        <n v="20905"/>
        <n v="56121"/>
        <n v="25882"/>
        <n v="29041"/>
        <n v="39098"/>
        <n v="52431"/>
        <n v="43709"/>
        <n v="44675"/>
        <n v="14837"/>
        <n v="56448"/>
        <n v="34489"/>
        <n v="27627"/>
        <n v="15696"/>
        <n v="58994"/>
        <n v="23543"/>
        <n v="22615"/>
        <n v="11466"/>
        <n v="40771"/>
        <n v="28350"/>
        <n v="10375"/>
        <n v="43030"/>
        <n v="30746"/>
        <n v="32886"/>
        <n v="54348"/>
        <n v="52904"/>
        <n v="42651"/>
        <n v="17833"/>
        <n v="11893"/>
        <n v="40573"/>
        <n v="41371"/>
        <n v="50874"/>
        <n v="21826"/>
        <n v="44420"/>
        <n v="31924"/>
        <n v="43367"/>
        <n v="31199"/>
        <n v="35868"/>
        <n v="18792"/>
        <n v="30597"/>
        <n v="46405"/>
        <n v="42696"/>
        <n v="53123"/>
        <n v="25989"/>
        <n v="38931"/>
        <n v="19290"/>
        <n v="48367"/>
        <n v="24342"/>
        <n v="34941"/>
        <n v="23945"/>
        <n v="20762"/>
        <n v="40133"/>
        <n v="57080"/>
        <n v="50150"/>
        <n v="37052"/>
        <n v="51750"/>
        <n v="29953"/>
        <n v="50475"/>
        <n v="27130"/>
        <n v="41086"/>
        <n v="14633"/>
        <n v="27304"/>
        <n v="52037"/>
        <n v="42284"/>
        <n v="56546"/>
        <n v="17008"/>
        <n v="58291"/>
        <n v="37405"/>
        <n v="46386"/>
        <n v="35373"/>
        <n v="30827"/>
        <n v="43040"/>
        <n v="23007"/>
        <n v="28157"/>
        <n v="42157"/>
        <n v="45315"/>
        <n v="45932"/>
        <n v="31164"/>
        <n v="24414"/>
        <n v="24327"/>
        <n v="58344"/>
        <n v="10946"/>
        <n v="24693"/>
        <n v="37241"/>
        <n v="59658"/>
        <n v="40254"/>
        <n v="25540"/>
        <n v="16719"/>
        <n v="51203"/>
        <n v="35081"/>
        <n v="21350"/>
        <n v="46358"/>
        <n v="42021"/>
        <n v="52832"/>
        <n v="38369"/>
        <n v="41728"/>
        <n v="27576"/>
        <n v="39001"/>
        <n v="27848"/>
        <n v="10390"/>
        <n v="31999"/>
        <n v="55436"/>
        <n v="21569"/>
        <n v="23029"/>
        <n v="32490"/>
        <n v="55875"/>
        <n v="45328"/>
        <n v="15867"/>
        <n v="25284"/>
        <n v="43979"/>
        <n v="19121"/>
        <n v="11539"/>
        <n v="35488"/>
        <n v="27027"/>
        <n v="18693"/>
        <n v="18921"/>
        <n v="20310"/>
        <n v="55512"/>
        <n v="40908"/>
        <n v="14386"/>
        <n v="42263"/>
        <n v="38412"/>
        <n v="27303"/>
        <n v="22242"/>
        <n v="57025"/>
        <n v="18947"/>
        <n v="56714"/>
        <n v="15930"/>
        <n v="48170"/>
        <n v="58785"/>
        <n v="10507"/>
        <n v="11436"/>
        <n v="37151"/>
        <n v="21618"/>
        <n v="18750"/>
        <n v="26122"/>
        <n v="17354"/>
        <n v="54062"/>
        <n v="40979"/>
        <n v="30900"/>
        <n v="23840"/>
        <n v="47167"/>
        <n v="15037"/>
        <n v="38633"/>
        <n v="34495"/>
        <n v="25848"/>
        <n v="46483"/>
        <n v="57645"/>
        <n v="17837"/>
        <n v="44069"/>
        <n v="17370"/>
        <n v="16411"/>
        <n v="49133"/>
        <n v="40499"/>
        <n v="40225"/>
        <n v="58217"/>
        <n v="10692"/>
        <n v="38926"/>
        <n v="44246"/>
        <n v="49164"/>
        <n v="18448"/>
        <n v="53390"/>
        <n v="59593"/>
        <n v="20073"/>
        <n v="45414"/>
        <n v="15209"/>
        <n v="16533"/>
        <n v="31061"/>
        <n v="17211"/>
        <n v="19927"/>
        <n v="21927"/>
        <n v="34594"/>
        <n v="19316"/>
        <n v="22177"/>
        <n v="20846"/>
        <n v="17933"/>
        <n v="48244"/>
        <n v="56621"/>
        <n v="50696"/>
        <n v="12080"/>
        <n v="16089"/>
        <n v="36123"/>
        <n v="17797"/>
        <n v="18346"/>
        <n v="29878"/>
        <n v="43672"/>
        <n v="59556"/>
        <n v="52742"/>
        <n v="36140"/>
        <n v="11184"/>
        <n v="44493"/>
        <n v="54148"/>
        <n v="34846"/>
        <n v="55825"/>
        <n v="32195"/>
        <n v="15606"/>
        <n v="13956"/>
        <n v="26555"/>
        <n v="34849"/>
        <n v="28690"/>
        <n v="58849"/>
        <n v="36347"/>
        <n v="43189"/>
        <n v="48308"/>
        <n v="35785"/>
        <n v="59056"/>
        <n v="42698"/>
        <n v="25966"/>
        <n v="41097"/>
        <n v="51850"/>
        <n v="23009"/>
        <n v="37843"/>
        <n v="39793"/>
        <n v="49516"/>
        <n v="48871"/>
        <n v="27857"/>
        <n v="29627"/>
        <n v="28565"/>
        <n v="36025"/>
        <n v="37832"/>
        <n v="54116"/>
        <n v="19782"/>
        <n v="48650"/>
        <n v="32366"/>
        <n v="38557"/>
        <n v="15798"/>
        <n v="19627"/>
        <n v="51183"/>
        <n v="22466"/>
        <n v="52614"/>
        <n v="22720"/>
        <n v="51913"/>
        <n v="47292"/>
        <n v="16559"/>
        <n v="50388"/>
        <n v="29158"/>
        <n v="40916"/>
        <n v="32057"/>
        <n v="45892"/>
        <n v="51439"/>
        <n v="21706"/>
        <n v="22070"/>
        <n v="50902"/>
        <n v="10924"/>
        <n v="36478"/>
        <n v="15506"/>
        <n v="45163"/>
        <n v="34604"/>
        <n v="25310"/>
        <n v="18226"/>
        <n v="21781"/>
        <n v="15515"/>
        <n v="46133"/>
        <n v="26972"/>
        <n v="42092"/>
        <n v="21410"/>
        <n v="29522"/>
        <n v="19095"/>
        <n v="33047"/>
        <n v="30470"/>
        <n v="53129"/>
        <n v="18531"/>
        <n v="47038"/>
        <n v="32403"/>
        <n v="52674"/>
        <n v="39122"/>
        <n v="26940"/>
        <n v="39831"/>
        <n v="21279"/>
        <n v="48220"/>
        <n v="16477"/>
        <n v="27400"/>
        <n v="16470"/>
        <n v="12062"/>
        <n v="51798"/>
        <n v="29880"/>
        <n v="44581"/>
        <n v="24308"/>
        <n v="36027"/>
        <n v="40720"/>
        <n v="45081"/>
        <n v="19706"/>
        <n v="19837"/>
        <n v="48599"/>
        <n v="46824"/>
        <n v="43073"/>
        <n v="57115"/>
        <n v="42088"/>
        <n v="38112"/>
        <n v="36299"/>
        <n v="44457"/>
        <n v="40063"/>
        <n v="13917"/>
        <n v="12936"/>
        <n v="46630"/>
        <n v="24506"/>
        <n v="38805"/>
        <n v="24318"/>
        <n v="58068"/>
        <n v="36026"/>
        <n v="37672"/>
        <n v="48417"/>
        <n v="37281"/>
        <n v="58442"/>
        <n v="38091"/>
        <n v="48328"/>
        <n v="58219"/>
        <n v="28610"/>
        <n v="11079"/>
        <n v="39850"/>
        <n v="56751"/>
        <n v="30590"/>
        <n v="40951"/>
        <n v="25327"/>
        <n v="22755"/>
        <n v="17235"/>
        <n v="27197"/>
        <n v="31473"/>
        <n v="12031"/>
        <n v="51282"/>
        <n v="51863"/>
        <n v="24287"/>
        <n v="48679"/>
        <n v="54463"/>
        <n v="42230"/>
        <n v="29037"/>
        <n v="13340"/>
        <n v="50644"/>
        <n v="58664"/>
        <n v="55203"/>
        <n v="11141"/>
        <n v="35425"/>
        <n v="29281"/>
        <n v="52049"/>
        <n v="30425"/>
        <n v="44806"/>
        <n v="42113"/>
        <n v="14270"/>
        <n v="52814"/>
        <n v="14683"/>
        <n v="59646"/>
        <n v="49884"/>
        <n v="39809"/>
        <n v="44552"/>
        <n v="13786"/>
        <n v="31650"/>
        <n v="38706"/>
        <n v="19190"/>
        <n v="48196"/>
        <n v="49449"/>
        <n v="49661"/>
        <n v="39709"/>
        <n v="55429"/>
        <n v="24892"/>
        <n v="19643"/>
        <n v="19943"/>
        <n v="53240"/>
        <n v="55760"/>
        <n v="31042"/>
        <n v="53894"/>
        <n v="16869"/>
        <n v="50437"/>
        <n v="54306"/>
        <n v="52833"/>
        <n v="30918"/>
        <n v="38379"/>
        <n v="52939"/>
        <n v="35274"/>
        <n v="27696"/>
        <n v="12962"/>
        <n v="23851"/>
        <n v="55747"/>
        <n v="15296"/>
        <n v="24745"/>
        <n v="15730"/>
        <n v="23921"/>
        <n v="42894"/>
        <n v="15602"/>
        <n v="27575"/>
        <n v="29023"/>
        <n v="55349"/>
        <n v="25997"/>
        <n v="27750"/>
        <n v="51979"/>
        <n v="32837"/>
        <n v="24997"/>
        <n v="49439"/>
        <n v="33067"/>
        <n v="55039"/>
        <n v="30923"/>
        <n v="18876"/>
        <n v="12887"/>
        <n v="52422"/>
        <n v="46854"/>
        <n v="46948"/>
        <n v="12841"/>
        <n v="38756"/>
        <n v="16040"/>
        <n v="20304"/>
        <n v="40341"/>
        <n v="14758"/>
        <n v="27010"/>
        <n v="41658"/>
        <n v="59002"/>
        <n v="47782"/>
        <n v="11375"/>
        <n v="43949"/>
        <n v="32092"/>
        <n v="10490"/>
        <n v="13729"/>
        <n v="15974"/>
        <n v="29680"/>
        <n v="28324"/>
        <n v="41334"/>
        <n v="31398"/>
        <n v="44650"/>
        <n v="31292"/>
        <n v="45755"/>
        <n v="48353"/>
        <n v="13159"/>
        <n v="42626"/>
        <n v="39351"/>
        <n v="47298"/>
        <n v="27065"/>
        <n v="31638"/>
        <n v="11073"/>
        <n v="56511"/>
        <n v="28771"/>
        <n v="45461"/>
        <n v="52330"/>
        <n v="39320"/>
        <n v="14340"/>
        <n v="44924"/>
        <n v="26184"/>
        <n v="50734"/>
        <n v="12580"/>
        <n v="50025"/>
        <n v="38967"/>
        <n v="12159"/>
        <n v="58940"/>
        <n v="23900"/>
        <n v="21440"/>
        <n v="24678"/>
        <n v="57204"/>
        <n v="22021"/>
        <n v="16772"/>
        <n v="11627"/>
        <n v="54432"/>
        <n v="18219"/>
        <n v="33464"/>
        <n v="40232"/>
        <n v="52481"/>
        <n v="18488"/>
        <n v="44949"/>
        <n v="54362"/>
        <n v="49932"/>
        <n v="28981"/>
        <n v="10901"/>
        <n v="32444"/>
        <n v="52058"/>
        <n v="28061"/>
        <n v="12881"/>
        <n v="39863"/>
        <n v="55826"/>
        <n v="15622"/>
        <n v="11378"/>
        <n v="27632"/>
        <n v="38311"/>
        <n v="15650"/>
        <n v="55201"/>
        <n v="52224"/>
        <n v="17036"/>
        <n v="49255"/>
        <n v="32499"/>
        <n v="47016"/>
        <n v="14603"/>
        <n v="37773"/>
        <n v="29937"/>
        <n v="22632"/>
        <n v="40607"/>
        <n v="36337"/>
        <n v="10220"/>
        <n v="56994"/>
        <n v="14818"/>
        <n v="17349"/>
        <n v="15618"/>
        <n v="37464"/>
        <n v="52624"/>
        <n v="47344"/>
        <n v="28255"/>
        <n v="34299"/>
        <n v="57975"/>
        <n v="11462"/>
        <n v="25905"/>
        <n v="34920"/>
        <n v="26252"/>
        <n v="51004"/>
        <n v="50581"/>
        <n v="44836"/>
        <n v="15753"/>
        <n v="50005"/>
        <n v="24175"/>
        <n v="16191"/>
        <n v="27898"/>
        <n v="28982"/>
        <n v="24622"/>
        <n v="11001"/>
        <n v="53000"/>
        <n v="33283"/>
        <n v="31435"/>
        <n v="37223"/>
        <n v="47244"/>
        <n v="40024"/>
        <n v="59630"/>
        <n v="40734"/>
        <n v="10515"/>
        <n v="55246"/>
        <n v="11191"/>
        <n v="42264"/>
        <n v="53628"/>
        <n v="56216"/>
        <n v="16297"/>
        <n v="37856"/>
        <n v="59423"/>
        <n v="18334"/>
        <n v="34162"/>
        <n v="16008"/>
        <n v="17987"/>
        <n v="40966"/>
        <n v="13332"/>
        <n v="10787"/>
        <n v="48990"/>
        <n v="19873"/>
        <n v="27006"/>
        <n v="30225"/>
        <n v="46444"/>
        <n v="45340"/>
        <n v="49683"/>
        <n v="15033"/>
        <n v="17788"/>
        <n v="25689"/>
        <n v="54220"/>
        <n v="31598"/>
        <n v="47480"/>
        <n v="39703"/>
        <n v="10066"/>
        <n v="58623"/>
        <n v="17533"/>
        <n v="25103"/>
        <n v="14616"/>
        <n v="56045"/>
        <n v="48498"/>
        <n v="53492"/>
        <n v="21772"/>
        <n v="33849"/>
        <n v="59036"/>
        <n v="22940"/>
        <n v="26932"/>
        <n v="39769"/>
        <n v="34648"/>
        <n v="57411"/>
        <n v="42966"/>
        <n v="37777"/>
        <n v="42567"/>
        <n v="59723"/>
        <n v="27174"/>
        <n v="52598"/>
        <n v="23798"/>
        <n v="27558"/>
        <n v="54237"/>
        <n v="10178"/>
        <n v="27118"/>
        <n v="32616"/>
        <n v="10798"/>
        <n v="17601"/>
        <n v="35363"/>
        <n v="12795"/>
        <n v="41926"/>
        <n v="55264"/>
        <n v="47356"/>
        <n v="17297"/>
        <n v="13084"/>
        <n v="40329"/>
        <n v="21110"/>
        <n v="10731"/>
        <n v="11129"/>
        <n v="38022"/>
        <n v="11605"/>
        <n v="21970"/>
        <n v="53705"/>
      </sharedItems>
    </cacheField>
    <cacheField name="Internet_Access" numFmtId="0">
      <sharedItems count="2">
        <s v="Yes"/>
        <s v="No"/>
      </sharedItems>
    </cacheField>
    <cacheField name="Private_Tuition" numFmtId="0">
      <sharedItems/>
    </cacheField>
    <cacheField name="Previous_GPA" numFmtId="0">
      <sharedItems containsSemiMixedTypes="0" containsString="0" containsNumber="1" minValue="3" maxValue="5" count="201">
        <n v="4.83"/>
        <n v="4.96"/>
        <n v="4.32"/>
        <n v="4.63"/>
        <n v="4.5"/>
        <n v="4.4000000000000004"/>
        <n v="3.61"/>
        <n v="3.11"/>
        <n v="3.69"/>
        <n v="4.33"/>
        <n v="3.21"/>
        <n v="3.02"/>
        <n v="3.28"/>
        <n v="4.43"/>
        <n v="4.95"/>
        <n v="4.97"/>
        <n v="3.99"/>
        <n v="4.74"/>
        <n v="4.47"/>
        <n v="4"/>
        <n v="4.1500000000000004"/>
        <n v="3.27"/>
        <n v="4.88"/>
        <n v="3.7"/>
        <n v="3.89"/>
        <n v="4.34"/>
        <n v="3.67"/>
        <n v="3.51"/>
        <n v="4.26"/>
        <n v="3.05"/>
        <n v="4.4400000000000004"/>
        <n v="4.03"/>
        <n v="4.21"/>
        <n v="4.05"/>
        <n v="4.17"/>
        <n v="4.37"/>
        <n v="4.51"/>
        <n v="4.45"/>
        <n v="3.38"/>
        <n v="3.8"/>
        <n v="4.9000000000000004"/>
        <n v="3.79"/>
        <n v="3.25"/>
        <n v="3.22"/>
        <n v="3.41"/>
        <n v="5"/>
        <n v="4.08"/>
        <n v="3.57"/>
        <n v="4.99"/>
        <n v="4.93"/>
        <n v="3.88"/>
        <n v="3.52"/>
        <n v="4.68"/>
        <n v="4.79"/>
        <n v="4.38"/>
        <n v="4.3899999999999997"/>
        <n v="4.5199999999999996"/>
        <n v="4.24"/>
        <n v="3.15"/>
        <n v="3.66"/>
        <n v="4.2"/>
        <n v="3.64"/>
        <n v="4.55"/>
        <n v="3.14"/>
        <n v="4.62"/>
        <n v="4.3499999999999996"/>
        <n v="3.6"/>
        <n v="3.04"/>
        <n v="3.86"/>
        <n v="3.07"/>
        <n v="4.91"/>
        <n v="3.42"/>
        <n v="4.58"/>
        <n v="3.44"/>
        <n v="3.1"/>
        <n v="3.97"/>
        <n v="3.03"/>
        <n v="4.84"/>
        <n v="4.67"/>
        <n v="4.82"/>
        <n v="4.8600000000000003"/>
        <n v="3.33"/>
        <n v="3"/>
        <n v="4.8099999999999996"/>
        <n v="3.92"/>
        <n v="4.76"/>
        <n v="3.39"/>
        <n v="4.8899999999999997"/>
        <n v="4.2300000000000004"/>
        <n v="3.45"/>
        <n v="4.09"/>
        <n v="4.04"/>
        <n v="3.94"/>
        <n v="4.6399999999999997"/>
        <n v="3.85"/>
        <n v="3.9"/>
        <n v="3.17"/>
        <n v="3.47"/>
        <n v="3.73"/>
        <n v="3.46"/>
        <n v="3.34"/>
        <n v="4.0199999999999996"/>
        <n v="3.68"/>
        <n v="3.37"/>
        <n v="3.01"/>
        <n v="3.93"/>
        <n v="3.26"/>
        <n v="4.7699999999999996"/>
        <n v="3.55"/>
        <n v="4.71"/>
        <n v="3.98"/>
        <n v="3.16"/>
        <n v="3.2"/>
        <n v="3.48"/>
        <n v="4.25"/>
        <n v="3.95"/>
        <n v="4.75"/>
        <n v="3.54"/>
        <n v="3.63"/>
        <n v="4.3600000000000003"/>
        <n v="3.19"/>
        <n v="4.8"/>
        <n v="4.87"/>
        <n v="3.35"/>
        <n v="3.09"/>
        <n v="4.16"/>
        <n v="4.6100000000000003"/>
        <n v="3.83"/>
        <n v="4.54"/>
        <n v="4.9800000000000004"/>
        <n v="3.12"/>
        <n v="3.43"/>
        <n v="4.5599999999999996"/>
        <n v="3.84"/>
        <n v="4.42"/>
        <n v="3.29"/>
        <n v="4.57"/>
        <n v="3.49"/>
        <n v="3.13"/>
        <n v="4.22"/>
        <n v="3.72"/>
        <n v="4.2699999999999996"/>
        <n v="4.72"/>
        <n v="3.78"/>
        <n v="4.78"/>
        <n v="3.5"/>
        <n v="3.31"/>
        <n v="3.06"/>
        <n v="4.29"/>
        <n v="4.92"/>
        <n v="3.87"/>
        <n v="3.4"/>
        <n v="4.49"/>
        <n v="3.77"/>
        <n v="3.36"/>
        <n v="4.4800000000000004"/>
        <n v="4.01"/>
        <n v="3.58"/>
        <n v="4.1900000000000004"/>
        <n v="4.66"/>
        <n v="3.91"/>
        <n v="3.3"/>
        <n v="3.76"/>
        <n v="3.96"/>
        <n v="3.81"/>
        <n v="4.07"/>
        <n v="4.5999999999999996"/>
        <n v="4.6900000000000004"/>
        <n v="3.08"/>
        <n v="4.8499999999999996"/>
        <n v="3.82"/>
        <n v="4.3"/>
        <n v="3.24"/>
        <n v="3.23"/>
        <n v="4.9400000000000004"/>
        <n v="4.13"/>
        <n v="3.75"/>
        <n v="4.53"/>
        <n v="3.65"/>
        <n v="3.53"/>
        <n v="4.7300000000000004"/>
        <n v="3.59"/>
        <n v="4.0599999999999996"/>
        <n v="4.59"/>
        <n v="4.1100000000000003"/>
        <n v="4.18"/>
        <n v="3.56"/>
        <n v="4.46"/>
        <n v="4.28"/>
        <n v="4.7"/>
        <n v="3.74"/>
        <n v="3.32"/>
        <n v="4.1399999999999997"/>
        <n v="3.18"/>
        <n v="3.71"/>
        <n v="4.41"/>
        <n v="4.12"/>
        <n v="4.6500000000000004"/>
        <n v="3.62"/>
        <n v="4.0999999999999996"/>
        <n v="4.3099999999999996"/>
      </sharedItems>
    </cacheField>
    <cacheField name="SSC_Score" numFmtId="0">
      <sharedItems containsSemiMixedTypes="0" containsString="0" containsNumber="1" minValue="3.5" maxValue="5"/>
    </cacheField>
    <cacheField name="HSC_Score" numFmtId="0">
      <sharedItems containsSemiMixedTypes="0" containsString="0" containsNumber="1" minValue="3" maxValue="5"/>
    </cacheField>
    <cacheField name="Student_Category_on_HSS_Score" numFmtId="0">
      <sharedItems/>
    </cacheField>
    <cacheField name="Study_Level" numFmtId="0">
      <sharedItems count="2">
        <s v="Low"/>
        <s v="Medium"/>
      </sharedItems>
    </cacheField>
    <cacheField name="Improvement_Indicator" numFmtId="0">
      <sharedItems count="3">
        <s v="Improved"/>
        <s v="Declined"/>
        <s v="Same"/>
      </sharedItems>
    </cacheField>
  </cacheFields>
  <extLst>
    <ext xmlns:x14="http://schemas.microsoft.com/office/spreadsheetml/2009/9/main" uri="{725AE2AE-9491-48be-B2B4-4EB974FC3084}">
      <x14:pivotCacheDefinition pivotCacheId="1415184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6"/>
    <x v="0"/>
    <x v="0"/>
    <n v="11"/>
    <x v="0"/>
    <x v="0"/>
    <x v="0"/>
    <x v="0"/>
    <s v="Yes"/>
    <x v="0"/>
    <n v="4.22"/>
    <n v="5"/>
    <s v="Excellent"/>
    <x v="0"/>
    <x v="0"/>
  </r>
  <r>
    <x v="1"/>
    <x v="1"/>
    <n v="17"/>
    <x v="1"/>
    <x v="0"/>
    <n v="7"/>
    <x v="1"/>
    <x v="1"/>
    <x v="1"/>
    <x v="1"/>
    <s v="No"/>
    <x v="1"/>
    <n v="4.09"/>
    <n v="4.7699999999999996"/>
    <s v="Excellent"/>
    <x v="0"/>
    <x v="1"/>
  </r>
  <r>
    <x v="2"/>
    <x v="0"/>
    <n v="15"/>
    <x v="2"/>
    <x v="0"/>
    <n v="27"/>
    <x v="2"/>
    <x v="2"/>
    <x v="2"/>
    <x v="0"/>
    <s v="Yes"/>
    <x v="2"/>
    <n v="4.8600000000000003"/>
    <n v="4.62"/>
    <s v="Excellent"/>
    <x v="1"/>
    <x v="0"/>
  </r>
  <r>
    <x v="3"/>
    <x v="0"/>
    <n v="15"/>
    <x v="3"/>
    <x v="0"/>
    <n v="18"/>
    <x v="3"/>
    <x v="1"/>
    <x v="3"/>
    <x v="1"/>
    <s v="No"/>
    <x v="3"/>
    <n v="3.54"/>
    <n v="3.75"/>
    <s v="Good"/>
    <x v="1"/>
    <x v="1"/>
  </r>
  <r>
    <x v="4"/>
    <x v="0"/>
    <n v="15"/>
    <x v="3"/>
    <x v="1"/>
    <n v="28"/>
    <x v="4"/>
    <x v="2"/>
    <x v="4"/>
    <x v="1"/>
    <s v="Yes"/>
    <x v="4"/>
    <n v="4.6500000000000004"/>
    <n v="3.46"/>
    <s v="Average"/>
    <x v="1"/>
    <x v="1"/>
  </r>
  <r>
    <x v="5"/>
    <x v="1"/>
    <n v="15"/>
    <x v="4"/>
    <x v="1"/>
    <n v="14"/>
    <x v="5"/>
    <x v="2"/>
    <x v="5"/>
    <x v="1"/>
    <s v="Yes"/>
    <x v="5"/>
    <n v="4.8499999999999996"/>
    <n v="4.47"/>
    <s v="Good"/>
    <x v="0"/>
    <x v="0"/>
  </r>
  <r>
    <x v="6"/>
    <x v="0"/>
    <n v="18"/>
    <x v="3"/>
    <x v="0"/>
    <n v="20"/>
    <x v="6"/>
    <x v="1"/>
    <x v="6"/>
    <x v="0"/>
    <s v="No"/>
    <x v="6"/>
    <n v="4.17"/>
    <n v="3.61"/>
    <s v="Good"/>
    <x v="1"/>
    <x v="2"/>
  </r>
  <r>
    <x v="7"/>
    <x v="0"/>
    <n v="15"/>
    <x v="0"/>
    <x v="1"/>
    <n v="20"/>
    <x v="7"/>
    <x v="1"/>
    <x v="7"/>
    <x v="0"/>
    <s v="No"/>
    <x v="7"/>
    <n v="4.33"/>
    <n v="3.35"/>
    <s v="Average"/>
    <x v="1"/>
    <x v="0"/>
  </r>
  <r>
    <x v="8"/>
    <x v="0"/>
    <n v="18"/>
    <x v="5"/>
    <x v="0"/>
    <n v="26"/>
    <x v="8"/>
    <x v="3"/>
    <x v="8"/>
    <x v="1"/>
    <s v="Yes"/>
    <x v="8"/>
    <n v="4.92"/>
    <n v="4.57"/>
    <s v="Excellent"/>
    <x v="1"/>
    <x v="0"/>
  </r>
  <r>
    <x v="9"/>
    <x v="1"/>
    <n v="18"/>
    <x v="6"/>
    <x v="1"/>
    <n v="14"/>
    <x v="8"/>
    <x v="3"/>
    <x v="9"/>
    <x v="0"/>
    <s v="Yes"/>
    <x v="9"/>
    <n v="3.82"/>
    <n v="3.63"/>
    <s v="Good"/>
    <x v="0"/>
    <x v="1"/>
  </r>
  <r>
    <x v="10"/>
    <x v="0"/>
    <n v="15"/>
    <x v="0"/>
    <x v="0"/>
    <n v="29"/>
    <x v="9"/>
    <x v="3"/>
    <x v="10"/>
    <x v="1"/>
    <s v="Yes"/>
    <x v="10"/>
    <n v="4.28"/>
    <n v="4.83"/>
    <s v="Excellent"/>
    <x v="1"/>
    <x v="0"/>
  </r>
  <r>
    <x v="11"/>
    <x v="0"/>
    <n v="15"/>
    <x v="5"/>
    <x v="0"/>
    <n v="17"/>
    <x v="10"/>
    <x v="2"/>
    <x v="11"/>
    <x v="0"/>
    <s v="No"/>
    <x v="11"/>
    <n v="4.21"/>
    <n v="4.68"/>
    <s v="Excellent"/>
    <x v="1"/>
    <x v="0"/>
  </r>
  <r>
    <x v="12"/>
    <x v="0"/>
    <n v="16"/>
    <x v="2"/>
    <x v="1"/>
    <n v="10"/>
    <x v="1"/>
    <x v="1"/>
    <x v="12"/>
    <x v="1"/>
    <s v="No"/>
    <x v="12"/>
    <n v="3.89"/>
    <n v="4.7"/>
    <s v="Excellent"/>
    <x v="0"/>
    <x v="0"/>
  </r>
  <r>
    <x v="13"/>
    <x v="0"/>
    <n v="17"/>
    <x v="3"/>
    <x v="1"/>
    <n v="16"/>
    <x v="10"/>
    <x v="0"/>
    <x v="13"/>
    <x v="0"/>
    <s v="Yes"/>
    <x v="13"/>
    <n v="4.7300000000000004"/>
    <n v="4.54"/>
    <s v="Excellent"/>
    <x v="1"/>
    <x v="0"/>
  </r>
  <r>
    <x v="14"/>
    <x v="1"/>
    <n v="15"/>
    <x v="2"/>
    <x v="0"/>
    <n v="13"/>
    <x v="11"/>
    <x v="2"/>
    <x v="14"/>
    <x v="1"/>
    <s v="Yes"/>
    <x v="14"/>
    <n v="4.8499999999999996"/>
    <n v="4.76"/>
    <s v="Excellent"/>
    <x v="0"/>
    <x v="1"/>
  </r>
  <r>
    <x v="15"/>
    <x v="0"/>
    <n v="16"/>
    <x v="3"/>
    <x v="0"/>
    <n v="17"/>
    <x v="12"/>
    <x v="0"/>
    <x v="15"/>
    <x v="1"/>
    <s v="No"/>
    <x v="15"/>
    <n v="4.67"/>
    <n v="4.6100000000000003"/>
    <s v="Excellent"/>
    <x v="1"/>
    <x v="1"/>
  </r>
  <r>
    <x v="16"/>
    <x v="1"/>
    <n v="16"/>
    <x v="6"/>
    <x v="1"/>
    <n v="8"/>
    <x v="13"/>
    <x v="1"/>
    <x v="16"/>
    <x v="1"/>
    <s v="Yes"/>
    <x v="16"/>
    <n v="3.79"/>
    <n v="4.21"/>
    <s v="Good"/>
    <x v="0"/>
    <x v="0"/>
  </r>
  <r>
    <x v="17"/>
    <x v="1"/>
    <n v="17"/>
    <x v="7"/>
    <x v="1"/>
    <n v="28"/>
    <x v="14"/>
    <x v="2"/>
    <x v="17"/>
    <x v="1"/>
    <s v="No"/>
    <x v="17"/>
    <n v="3.63"/>
    <n v="3.59"/>
    <s v="Good"/>
    <x v="1"/>
    <x v="1"/>
  </r>
  <r>
    <x v="18"/>
    <x v="1"/>
    <n v="18"/>
    <x v="6"/>
    <x v="0"/>
    <n v="15"/>
    <x v="15"/>
    <x v="0"/>
    <x v="18"/>
    <x v="0"/>
    <s v="No"/>
    <x v="18"/>
    <n v="4.41"/>
    <n v="4.78"/>
    <s v="Excellent"/>
    <x v="1"/>
    <x v="0"/>
  </r>
  <r>
    <x v="19"/>
    <x v="0"/>
    <n v="15"/>
    <x v="1"/>
    <x v="1"/>
    <n v="24"/>
    <x v="13"/>
    <x v="0"/>
    <x v="19"/>
    <x v="1"/>
    <s v="No"/>
    <x v="19"/>
    <n v="3.59"/>
    <n v="4.68"/>
    <s v="Excellent"/>
    <x v="1"/>
    <x v="0"/>
  </r>
  <r>
    <x v="20"/>
    <x v="1"/>
    <n v="17"/>
    <x v="0"/>
    <x v="0"/>
    <n v="22"/>
    <x v="16"/>
    <x v="3"/>
    <x v="20"/>
    <x v="0"/>
    <s v="No"/>
    <x v="20"/>
    <n v="4.51"/>
    <n v="3.95"/>
    <s v="Good"/>
    <x v="1"/>
    <x v="1"/>
  </r>
  <r>
    <x v="21"/>
    <x v="0"/>
    <n v="15"/>
    <x v="4"/>
    <x v="0"/>
    <n v="15"/>
    <x v="17"/>
    <x v="3"/>
    <x v="21"/>
    <x v="0"/>
    <s v="No"/>
    <x v="21"/>
    <n v="4.3"/>
    <n v="3.08"/>
    <s v="Average"/>
    <x v="1"/>
    <x v="1"/>
  </r>
  <r>
    <x v="22"/>
    <x v="1"/>
    <n v="16"/>
    <x v="7"/>
    <x v="0"/>
    <n v="29"/>
    <x v="14"/>
    <x v="3"/>
    <x v="22"/>
    <x v="1"/>
    <s v="No"/>
    <x v="22"/>
    <n v="4.49"/>
    <n v="4.28"/>
    <s v="Good"/>
    <x v="1"/>
    <x v="1"/>
  </r>
  <r>
    <x v="23"/>
    <x v="1"/>
    <n v="16"/>
    <x v="6"/>
    <x v="0"/>
    <n v="25"/>
    <x v="10"/>
    <x v="2"/>
    <x v="23"/>
    <x v="0"/>
    <s v="Yes"/>
    <x v="23"/>
    <n v="4.3899999999999997"/>
    <n v="3.1"/>
    <s v="Average"/>
    <x v="1"/>
    <x v="1"/>
  </r>
  <r>
    <x v="24"/>
    <x v="1"/>
    <n v="18"/>
    <x v="5"/>
    <x v="1"/>
    <n v="8"/>
    <x v="17"/>
    <x v="1"/>
    <x v="24"/>
    <x v="0"/>
    <s v="No"/>
    <x v="24"/>
    <n v="4.13"/>
    <n v="4.8499999999999996"/>
    <s v="Excellent"/>
    <x v="0"/>
    <x v="0"/>
  </r>
  <r>
    <x v="25"/>
    <x v="1"/>
    <n v="16"/>
    <x v="7"/>
    <x v="1"/>
    <n v="22"/>
    <x v="18"/>
    <x v="1"/>
    <x v="25"/>
    <x v="0"/>
    <s v="No"/>
    <x v="25"/>
    <n v="3.8"/>
    <n v="4.92"/>
    <s v="Excellent"/>
    <x v="1"/>
    <x v="0"/>
  </r>
  <r>
    <x v="26"/>
    <x v="1"/>
    <n v="16"/>
    <x v="0"/>
    <x v="1"/>
    <n v="5"/>
    <x v="19"/>
    <x v="3"/>
    <x v="26"/>
    <x v="1"/>
    <s v="Yes"/>
    <x v="26"/>
    <n v="3.96"/>
    <n v="3.38"/>
    <s v="Average"/>
    <x v="0"/>
    <x v="1"/>
  </r>
  <r>
    <x v="27"/>
    <x v="1"/>
    <n v="17"/>
    <x v="3"/>
    <x v="1"/>
    <n v="11"/>
    <x v="20"/>
    <x v="3"/>
    <x v="27"/>
    <x v="0"/>
    <s v="No"/>
    <x v="27"/>
    <n v="4.29"/>
    <n v="4.3499999999999996"/>
    <s v="Good"/>
    <x v="0"/>
    <x v="0"/>
  </r>
  <r>
    <x v="28"/>
    <x v="1"/>
    <n v="15"/>
    <x v="7"/>
    <x v="1"/>
    <n v="10"/>
    <x v="21"/>
    <x v="3"/>
    <x v="28"/>
    <x v="0"/>
    <s v="Yes"/>
    <x v="28"/>
    <n v="4.4800000000000004"/>
    <n v="3.18"/>
    <s v="Average"/>
    <x v="0"/>
    <x v="1"/>
  </r>
  <r>
    <x v="29"/>
    <x v="1"/>
    <n v="15"/>
    <x v="3"/>
    <x v="1"/>
    <n v="19"/>
    <x v="5"/>
    <x v="0"/>
    <x v="29"/>
    <x v="1"/>
    <s v="No"/>
    <x v="29"/>
    <n v="4.67"/>
    <n v="4.46"/>
    <s v="Good"/>
    <x v="1"/>
    <x v="0"/>
  </r>
  <r>
    <x v="30"/>
    <x v="0"/>
    <n v="17"/>
    <x v="0"/>
    <x v="1"/>
    <n v="22"/>
    <x v="5"/>
    <x v="3"/>
    <x v="30"/>
    <x v="1"/>
    <s v="Yes"/>
    <x v="30"/>
    <n v="4.6500000000000004"/>
    <n v="3.69"/>
    <s v="Good"/>
    <x v="1"/>
    <x v="1"/>
  </r>
  <r>
    <x v="31"/>
    <x v="0"/>
    <n v="18"/>
    <x v="6"/>
    <x v="0"/>
    <n v="28"/>
    <x v="22"/>
    <x v="0"/>
    <x v="31"/>
    <x v="0"/>
    <s v="Yes"/>
    <x v="31"/>
    <n v="4.96"/>
    <n v="4.3600000000000003"/>
    <s v="Good"/>
    <x v="1"/>
    <x v="0"/>
  </r>
  <r>
    <x v="32"/>
    <x v="1"/>
    <n v="15"/>
    <x v="0"/>
    <x v="1"/>
    <n v="15"/>
    <x v="0"/>
    <x v="1"/>
    <x v="32"/>
    <x v="1"/>
    <s v="No"/>
    <x v="32"/>
    <n v="3.93"/>
    <n v="3.75"/>
    <s v="Good"/>
    <x v="1"/>
    <x v="1"/>
  </r>
  <r>
    <x v="33"/>
    <x v="1"/>
    <n v="16"/>
    <x v="7"/>
    <x v="1"/>
    <n v="24"/>
    <x v="23"/>
    <x v="2"/>
    <x v="33"/>
    <x v="0"/>
    <s v="No"/>
    <x v="28"/>
    <n v="3.61"/>
    <n v="3.29"/>
    <s v="Average"/>
    <x v="1"/>
    <x v="1"/>
  </r>
  <r>
    <x v="34"/>
    <x v="1"/>
    <n v="15"/>
    <x v="5"/>
    <x v="0"/>
    <n v="28"/>
    <x v="24"/>
    <x v="2"/>
    <x v="34"/>
    <x v="0"/>
    <s v="No"/>
    <x v="33"/>
    <n v="4.0199999999999996"/>
    <n v="3.81"/>
    <s v="Good"/>
    <x v="1"/>
    <x v="1"/>
  </r>
  <r>
    <x v="35"/>
    <x v="0"/>
    <n v="16"/>
    <x v="2"/>
    <x v="1"/>
    <n v="19"/>
    <x v="18"/>
    <x v="2"/>
    <x v="35"/>
    <x v="0"/>
    <s v="No"/>
    <x v="34"/>
    <n v="4.6100000000000003"/>
    <n v="3.23"/>
    <s v="Average"/>
    <x v="1"/>
    <x v="1"/>
  </r>
  <r>
    <x v="36"/>
    <x v="1"/>
    <n v="18"/>
    <x v="7"/>
    <x v="1"/>
    <n v="20"/>
    <x v="25"/>
    <x v="2"/>
    <x v="36"/>
    <x v="1"/>
    <s v="Yes"/>
    <x v="35"/>
    <n v="4.16"/>
    <n v="4.1500000000000004"/>
    <s v="Good"/>
    <x v="1"/>
    <x v="1"/>
  </r>
  <r>
    <x v="37"/>
    <x v="0"/>
    <n v="17"/>
    <x v="0"/>
    <x v="0"/>
    <n v="11"/>
    <x v="26"/>
    <x v="0"/>
    <x v="37"/>
    <x v="0"/>
    <s v="Yes"/>
    <x v="36"/>
    <n v="4.7300000000000004"/>
    <n v="3.08"/>
    <s v="Average"/>
    <x v="0"/>
    <x v="1"/>
  </r>
  <r>
    <x v="38"/>
    <x v="0"/>
    <n v="15"/>
    <x v="2"/>
    <x v="1"/>
    <n v="25"/>
    <x v="5"/>
    <x v="0"/>
    <x v="38"/>
    <x v="1"/>
    <s v="Yes"/>
    <x v="37"/>
    <n v="4.32"/>
    <n v="4.05"/>
    <s v="Good"/>
    <x v="1"/>
    <x v="1"/>
  </r>
  <r>
    <x v="39"/>
    <x v="0"/>
    <n v="17"/>
    <x v="0"/>
    <x v="1"/>
    <n v="14"/>
    <x v="27"/>
    <x v="3"/>
    <x v="39"/>
    <x v="1"/>
    <s v="No"/>
    <x v="17"/>
    <n v="4.8899999999999997"/>
    <n v="4.7699999999999996"/>
    <s v="Excellent"/>
    <x v="0"/>
    <x v="0"/>
  </r>
  <r>
    <x v="40"/>
    <x v="0"/>
    <n v="15"/>
    <x v="5"/>
    <x v="1"/>
    <n v="16"/>
    <x v="28"/>
    <x v="0"/>
    <x v="40"/>
    <x v="0"/>
    <s v="Yes"/>
    <x v="38"/>
    <n v="4.92"/>
    <n v="4.68"/>
    <s v="Excellent"/>
    <x v="1"/>
    <x v="0"/>
  </r>
  <r>
    <x v="41"/>
    <x v="0"/>
    <n v="16"/>
    <x v="0"/>
    <x v="0"/>
    <n v="28"/>
    <x v="16"/>
    <x v="3"/>
    <x v="41"/>
    <x v="1"/>
    <s v="No"/>
    <x v="39"/>
    <n v="3.6"/>
    <n v="4.7699999999999996"/>
    <s v="Excellent"/>
    <x v="1"/>
    <x v="0"/>
  </r>
  <r>
    <x v="42"/>
    <x v="1"/>
    <n v="17"/>
    <x v="6"/>
    <x v="1"/>
    <n v="18"/>
    <x v="18"/>
    <x v="3"/>
    <x v="42"/>
    <x v="1"/>
    <s v="No"/>
    <x v="40"/>
    <n v="4.18"/>
    <n v="4.84"/>
    <s v="Excellent"/>
    <x v="1"/>
    <x v="1"/>
  </r>
  <r>
    <x v="43"/>
    <x v="1"/>
    <n v="15"/>
    <x v="4"/>
    <x v="1"/>
    <n v="29"/>
    <x v="14"/>
    <x v="2"/>
    <x v="43"/>
    <x v="1"/>
    <s v="Yes"/>
    <x v="41"/>
    <n v="4.41"/>
    <n v="3.21"/>
    <s v="Average"/>
    <x v="1"/>
    <x v="1"/>
  </r>
  <r>
    <x v="44"/>
    <x v="1"/>
    <n v="16"/>
    <x v="3"/>
    <x v="0"/>
    <n v="9"/>
    <x v="29"/>
    <x v="0"/>
    <x v="44"/>
    <x v="1"/>
    <s v="No"/>
    <x v="42"/>
    <n v="3.88"/>
    <n v="3.26"/>
    <s v="Average"/>
    <x v="0"/>
    <x v="0"/>
  </r>
  <r>
    <x v="45"/>
    <x v="1"/>
    <n v="17"/>
    <x v="3"/>
    <x v="1"/>
    <n v="25"/>
    <x v="12"/>
    <x v="0"/>
    <x v="45"/>
    <x v="1"/>
    <s v="Yes"/>
    <x v="33"/>
    <n v="4.1100000000000003"/>
    <n v="4.1100000000000003"/>
    <s v="Good"/>
    <x v="1"/>
    <x v="0"/>
  </r>
  <r>
    <x v="46"/>
    <x v="1"/>
    <n v="17"/>
    <x v="7"/>
    <x v="0"/>
    <n v="22"/>
    <x v="30"/>
    <x v="3"/>
    <x v="46"/>
    <x v="0"/>
    <s v="No"/>
    <x v="43"/>
    <n v="4.5199999999999996"/>
    <n v="4.79"/>
    <s v="Excellent"/>
    <x v="1"/>
    <x v="0"/>
  </r>
  <r>
    <x v="47"/>
    <x v="0"/>
    <n v="15"/>
    <x v="4"/>
    <x v="0"/>
    <n v="9"/>
    <x v="6"/>
    <x v="3"/>
    <x v="47"/>
    <x v="1"/>
    <s v="Yes"/>
    <x v="44"/>
    <n v="3.84"/>
    <n v="4.95"/>
    <s v="Excellent"/>
    <x v="0"/>
    <x v="0"/>
  </r>
  <r>
    <x v="48"/>
    <x v="1"/>
    <n v="15"/>
    <x v="0"/>
    <x v="1"/>
    <n v="7"/>
    <x v="12"/>
    <x v="1"/>
    <x v="48"/>
    <x v="0"/>
    <s v="No"/>
    <x v="45"/>
    <n v="4.4000000000000004"/>
    <n v="3.09"/>
    <s v="Average"/>
    <x v="0"/>
    <x v="1"/>
  </r>
  <r>
    <x v="49"/>
    <x v="1"/>
    <n v="15"/>
    <x v="5"/>
    <x v="0"/>
    <n v="27"/>
    <x v="31"/>
    <x v="1"/>
    <x v="49"/>
    <x v="0"/>
    <s v="Yes"/>
    <x v="46"/>
    <n v="4.55"/>
    <n v="3.71"/>
    <s v="Good"/>
    <x v="1"/>
    <x v="1"/>
  </r>
  <r>
    <x v="50"/>
    <x v="0"/>
    <n v="16"/>
    <x v="7"/>
    <x v="0"/>
    <n v="9"/>
    <x v="32"/>
    <x v="3"/>
    <x v="50"/>
    <x v="0"/>
    <s v="Yes"/>
    <x v="47"/>
    <n v="3.64"/>
    <n v="3.43"/>
    <s v="Average"/>
    <x v="0"/>
    <x v="1"/>
  </r>
  <r>
    <x v="51"/>
    <x v="1"/>
    <n v="15"/>
    <x v="0"/>
    <x v="1"/>
    <n v="28"/>
    <x v="18"/>
    <x v="1"/>
    <x v="51"/>
    <x v="0"/>
    <s v="No"/>
    <x v="48"/>
    <n v="4.25"/>
    <n v="4.51"/>
    <s v="Excellent"/>
    <x v="1"/>
    <x v="1"/>
  </r>
  <r>
    <x v="52"/>
    <x v="0"/>
    <n v="17"/>
    <x v="2"/>
    <x v="0"/>
    <n v="21"/>
    <x v="6"/>
    <x v="1"/>
    <x v="52"/>
    <x v="0"/>
    <s v="No"/>
    <x v="49"/>
    <n v="3.89"/>
    <n v="4.28"/>
    <s v="Good"/>
    <x v="1"/>
    <x v="1"/>
  </r>
  <r>
    <x v="53"/>
    <x v="1"/>
    <n v="17"/>
    <x v="1"/>
    <x v="0"/>
    <n v="23"/>
    <x v="13"/>
    <x v="3"/>
    <x v="53"/>
    <x v="0"/>
    <s v="Yes"/>
    <x v="50"/>
    <n v="4.59"/>
    <n v="3.24"/>
    <s v="Average"/>
    <x v="1"/>
    <x v="1"/>
  </r>
  <r>
    <x v="54"/>
    <x v="0"/>
    <n v="15"/>
    <x v="0"/>
    <x v="1"/>
    <n v="23"/>
    <x v="17"/>
    <x v="3"/>
    <x v="54"/>
    <x v="1"/>
    <s v="No"/>
    <x v="51"/>
    <n v="3.78"/>
    <n v="3.97"/>
    <s v="Good"/>
    <x v="1"/>
    <x v="0"/>
  </r>
  <r>
    <x v="55"/>
    <x v="1"/>
    <n v="15"/>
    <x v="4"/>
    <x v="1"/>
    <n v="29"/>
    <x v="33"/>
    <x v="0"/>
    <x v="55"/>
    <x v="1"/>
    <s v="No"/>
    <x v="52"/>
    <n v="4.84"/>
    <n v="4.37"/>
    <s v="Good"/>
    <x v="1"/>
    <x v="1"/>
  </r>
  <r>
    <x v="56"/>
    <x v="1"/>
    <n v="18"/>
    <x v="7"/>
    <x v="1"/>
    <n v="25"/>
    <x v="33"/>
    <x v="3"/>
    <x v="56"/>
    <x v="1"/>
    <s v="No"/>
    <x v="13"/>
    <n v="4.1500000000000004"/>
    <n v="4.5599999999999996"/>
    <s v="Excellent"/>
    <x v="1"/>
    <x v="0"/>
  </r>
  <r>
    <x v="57"/>
    <x v="0"/>
    <n v="17"/>
    <x v="4"/>
    <x v="0"/>
    <n v="16"/>
    <x v="17"/>
    <x v="3"/>
    <x v="57"/>
    <x v="0"/>
    <s v="Yes"/>
    <x v="35"/>
    <n v="3.8"/>
    <n v="3.04"/>
    <s v="Average"/>
    <x v="1"/>
    <x v="1"/>
  </r>
  <r>
    <x v="58"/>
    <x v="0"/>
    <n v="16"/>
    <x v="7"/>
    <x v="1"/>
    <n v="29"/>
    <x v="10"/>
    <x v="2"/>
    <x v="58"/>
    <x v="1"/>
    <s v="Yes"/>
    <x v="53"/>
    <n v="4.16"/>
    <n v="4.78"/>
    <s v="Excellent"/>
    <x v="1"/>
    <x v="1"/>
  </r>
  <r>
    <x v="59"/>
    <x v="0"/>
    <n v="18"/>
    <x v="0"/>
    <x v="0"/>
    <n v="13"/>
    <x v="22"/>
    <x v="0"/>
    <x v="59"/>
    <x v="1"/>
    <s v="No"/>
    <x v="54"/>
    <n v="4.1100000000000003"/>
    <n v="4.1399999999999997"/>
    <s v="Good"/>
    <x v="0"/>
    <x v="1"/>
  </r>
  <r>
    <x v="60"/>
    <x v="0"/>
    <n v="15"/>
    <x v="6"/>
    <x v="0"/>
    <n v="5"/>
    <x v="27"/>
    <x v="0"/>
    <x v="60"/>
    <x v="1"/>
    <s v="No"/>
    <x v="47"/>
    <n v="4.1399999999999997"/>
    <n v="4.62"/>
    <s v="Excellent"/>
    <x v="0"/>
    <x v="0"/>
  </r>
  <r>
    <x v="61"/>
    <x v="0"/>
    <n v="15"/>
    <x v="2"/>
    <x v="0"/>
    <n v="22"/>
    <x v="20"/>
    <x v="0"/>
    <x v="61"/>
    <x v="0"/>
    <s v="Yes"/>
    <x v="55"/>
    <n v="4.38"/>
    <n v="4.62"/>
    <s v="Excellent"/>
    <x v="1"/>
    <x v="0"/>
  </r>
  <r>
    <x v="62"/>
    <x v="0"/>
    <n v="17"/>
    <x v="0"/>
    <x v="0"/>
    <n v="25"/>
    <x v="23"/>
    <x v="2"/>
    <x v="62"/>
    <x v="1"/>
    <s v="No"/>
    <x v="6"/>
    <n v="4.28"/>
    <n v="3.38"/>
    <s v="Average"/>
    <x v="1"/>
    <x v="1"/>
  </r>
  <r>
    <x v="63"/>
    <x v="0"/>
    <n v="15"/>
    <x v="3"/>
    <x v="0"/>
    <n v="8"/>
    <x v="1"/>
    <x v="3"/>
    <x v="63"/>
    <x v="0"/>
    <s v="Yes"/>
    <x v="56"/>
    <n v="3.72"/>
    <n v="3.22"/>
    <s v="Average"/>
    <x v="0"/>
    <x v="1"/>
  </r>
  <r>
    <x v="64"/>
    <x v="0"/>
    <n v="16"/>
    <x v="4"/>
    <x v="0"/>
    <n v="14"/>
    <x v="18"/>
    <x v="0"/>
    <x v="32"/>
    <x v="1"/>
    <s v="No"/>
    <x v="57"/>
    <n v="3.6"/>
    <n v="4.4400000000000004"/>
    <s v="Good"/>
    <x v="0"/>
    <x v="0"/>
  </r>
  <r>
    <x v="65"/>
    <x v="1"/>
    <n v="17"/>
    <x v="1"/>
    <x v="0"/>
    <n v="29"/>
    <x v="15"/>
    <x v="0"/>
    <x v="64"/>
    <x v="0"/>
    <s v="No"/>
    <x v="58"/>
    <n v="4.59"/>
    <n v="3.31"/>
    <s v="Average"/>
    <x v="1"/>
    <x v="0"/>
  </r>
  <r>
    <x v="66"/>
    <x v="1"/>
    <n v="15"/>
    <x v="1"/>
    <x v="1"/>
    <n v="11"/>
    <x v="33"/>
    <x v="1"/>
    <x v="65"/>
    <x v="0"/>
    <s v="No"/>
    <x v="31"/>
    <n v="4.34"/>
    <n v="4.7"/>
    <s v="Excellent"/>
    <x v="0"/>
    <x v="0"/>
  </r>
  <r>
    <x v="67"/>
    <x v="0"/>
    <n v="17"/>
    <x v="5"/>
    <x v="1"/>
    <n v="26"/>
    <x v="13"/>
    <x v="0"/>
    <x v="66"/>
    <x v="0"/>
    <s v="Yes"/>
    <x v="8"/>
    <n v="4.04"/>
    <n v="4.45"/>
    <s v="Good"/>
    <x v="1"/>
    <x v="0"/>
  </r>
  <r>
    <x v="68"/>
    <x v="1"/>
    <n v="15"/>
    <x v="7"/>
    <x v="0"/>
    <n v="27"/>
    <x v="3"/>
    <x v="3"/>
    <x v="67"/>
    <x v="1"/>
    <s v="Yes"/>
    <x v="59"/>
    <n v="4.71"/>
    <n v="4.68"/>
    <s v="Excellent"/>
    <x v="1"/>
    <x v="0"/>
  </r>
  <r>
    <x v="69"/>
    <x v="1"/>
    <n v="15"/>
    <x v="4"/>
    <x v="0"/>
    <n v="5"/>
    <x v="29"/>
    <x v="3"/>
    <x v="68"/>
    <x v="1"/>
    <s v="Yes"/>
    <x v="60"/>
    <n v="4.08"/>
    <n v="3.6"/>
    <s v="Good"/>
    <x v="0"/>
    <x v="1"/>
  </r>
  <r>
    <x v="70"/>
    <x v="1"/>
    <n v="15"/>
    <x v="5"/>
    <x v="1"/>
    <n v="21"/>
    <x v="22"/>
    <x v="1"/>
    <x v="69"/>
    <x v="0"/>
    <s v="Yes"/>
    <x v="61"/>
    <n v="4.6900000000000004"/>
    <n v="3.63"/>
    <s v="Good"/>
    <x v="1"/>
    <x v="1"/>
  </r>
  <r>
    <x v="71"/>
    <x v="1"/>
    <n v="16"/>
    <x v="4"/>
    <x v="0"/>
    <n v="28"/>
    <x v="1"/>
    <x v="0"/>
    <x v="70"/>
    <x v="1"/>
    <s v="No"/>
    <x v="62"/>
    <n v="3.96"/>
    <n v="4.34"/>
    <s v="Good"/>
    <x v="1"/>
    <x v="1"/>
  </r>
  <r>
    <x v="72"/>
    <x v="0"/>
    <n v="16"/>
    <x v="3"/>
    <x v="1"/>
    <n v="6"/>
    <x v="9"/>
    <x v="0"/>
    <x v="71"/>
    <x v="0"/>
    <s v="No"/>
    <x v="63"/>
    <n v="3.61"/>
    <n v="3.06"/>
    <s v="Average"/>
    <x v="0"/>
    <x v="1"/>
  </r>
  <r>
    <x v="73"/>
    <x v="1"/>
    <n v="17"/>
    <x v="7"/>
    <x v="1"/>
    <n v="15"/>
    <x v="27"/>
    <x v="0"/>
    <x v="72"/>
    <x v="0"/>
    <s v="Yes"/>
    <x v="2"/>
    <n v="4.9000000000000004"/>
    <n v="4.45"/>
    <s v="Good"/>
    <x v="1"/>
    <x v="0"/>
  </r>
  <r>
    <x v="74"/>
    <x v="0"/>
    <n v="15"/>
    <x v="0"/>
    <x v="1"/>
    <n v="13"/>
    <x v="34"/>
    <x v="2"/>
    <x v="73"/>
    <x v="1"/>
    <s v="No"/>
    <x v="64"/>
    <n v="4.09"/>
    <n v="4.67"/>
    <s v="Excellent"/>
    <x v="0"/>
    <x v="0"/>
  </r>
  <r>
    <x v="75"/>
    <x v="1"/>
    <n v="15"/>
    <x v="0"/>
    <x v="0"/>
    <n v="11"/>
    <x v="3"/>
    <x v="0"/>
    <x v="74"/>
    <x v="1"/>
    <s v="No"/>
    <x v="65"/>
    <n v="4.6900000000000004"/>
    <n v="3.83"/>
    <s v="Good"/>
    <x v="0"/>
    <x v="1"/>
  </r>
  <r>
    <x v="76"/>
    <x v="1"/>
    <n v="16"/>
    <x v="1"/>
    <x v="0"/>
    <n v="26"/>
    <x v="18"/>
    <x v="3"/>
    <x v="75"/>
    <x v="1"/>
    <s v="Yes"/>
    <x v="16"/>
    <n v="3.92"/>
    <n v="4.53"/>
    <s v="Excellent"/>
    <x v="1"/>
    <x v="0"/>
  </r>
  <r>
    <x v="77"/>
    <x v="1"/>
    <n v="15"/>
    <x v="0"/>
    <x v="1"/>
    <n v="21"/>
    <x v="35"/>
    <x v="3"/>
    <x v="76"/>
    <x v="0"/>
    <s v="No"/>
    <x v="40"/>
    <n v="4.47"/>
    <n v="3.35"/>
    <s v="Average"/>
    <x v="1"/>
    <x v="1"/>
  </r>
  <r>
    <x v="78"/>
    <x v="0"/>
    <n v="16"/>
    <x v="0"/>
    <x v="1"/>
    <n v="21"/>
    <x v="22"/>
    <x v="2"/>
    <x v="77"/>
    <x v="0"/>
    <s v="No"/>
    <x v="66"/>
    <n v="4.8099999999999996"/>
    <n v="3.64"/>
    <s v="Good"/>
    <x v="1"/>
    <x v="0"/>
  </r>
  <r>
    <x v="79"/>
    <x v="1"/>
    <n v="15"/>
    <x v="3"/>
    <x v="1"/>
    <n v="6"/>
    <x v="32"/>
    <x v="2"/>
    <x v="78"/>
    <x v="1"/>
    <s v="Yes"/>
    <x v="67"/>
    <n v="3.56"/>
    <n v="4.95"/>
    <s v="Excellent"/>
    <x v="0"/>
    <x v="0"/>
  </r>
  <r>
    <x v="80"/>
    <x v="0"/>
    <n v="17"/>
    <x v="6"/>
    <x v="1"/>
    <n v="10"/>
    <x v="7"/>
    <x v="0"/>
    <x v="79"/>
    <x v="0"/>
    <s v="No"/>
    <x v="68"/>
    <n v="4.75"/>
    <n v="4.97"/>
    <s v="Excellent"/>
    <x v="0"/>
    <x v="0"/>
  </r>
  <r>
    <x v="81"/>
    <x v="1"/>
    <n v="15"/>
    <x v="1"/>
    <x v="1"/>
    <n v="18"/>
    <x v="12"/>
    <x v="1"/>
    <x v="80"/>
    <x v="1"/>
    <s v="No"/>
    <x v="69"/>
    <n v="4.3600000000000003"/>
    <n v="4.03"/>
    <s v="Good"/>
    <x v="1"/>
    <x v="0"/>
  </r>
  <r>
    <x v="82"/>
    <x v="0"/>
    <n v="15"/>
    <x v="5"/>
    <x v="0"/>
    <n v="10"/>
    <x v="21"/>
    <x v="2"/>
    <x v="81"/>
    <x v="0"/>
    <s v="No"/>
    <x v="70"/>
    <n v="4.41"/>
    <n v="4.87"/>
    <s v="Excellent"/>
    <x v="0"/>
    <x v="1"/>
  </r>
  <r>
    <x v="83"/>
    <x v="1"/>
    <n v="18"/>
    <x v="2"/>
    <x v="1"/>
    <n v="6"/>
    <x v="1"/>
    <x v="2"/>
    <x v="82"/>
    <x v="1"/>
    <s v="Yes"/>
    <x v="71"/>
    <n v="4.28"/>
    <n v="4.05"/>
    <s v="Good"/>
    <x v="0"/>
    <x v="0"/>
  </r>
  <r>
    <x v="84"/>
    <x v="0"/>
    <n v="16"/>
    <x v="6"/>
    <x v="0"/>
    <n v="5"/>
    <x v="31"/>
    <x v="0"/>
    <x v="83"/>
    <x v="1"/>
    <s v="Yes"/>
    <x v="72"/>
    <n v="4.8099999999999996"/>
    <n v="3.58"/>
    <s v="Good"/>
    <x v="0"/>
    <x v="1"/>
  </r>
  <r>
    <x v="85"/>
    <x v="0"/>
    <n v="15"/>
    <x v="5"/>
    <x v="1"/>
    <n v="14"/>
    <x v="12"/>
    <x v="0"/>
    <x v="84"/>
    <x v="0"/>
    <s v="No"/>
    <x v="62"/>
    <n v="3.57"/>
    <n v="3.53"/>
    <s v="Good"/>
    <x v="0"/>
    <x v="1"/>
  </r>
  <r>
    <x v="86"/>
    <x v="1"/>
    <n v="15"/>
    <x v="7"/>
    <x v="0"/>
    <n v="25"/>
    <x v="9"/>
    <x v="2"/>
    <x v="85"/>
    <x v="1"/>
    <s v="No"/>
    <x v="73"/>
    <n v="3.89"/>
    <n v="4.8600000000000003"/>
    <s v="Excellent"/>
    <x v="1"/>
    <x v="0"/>
  </r>
  <r>
    <x v="87"/>
    <x v="0"/>
    <n v="18"/>
    <x v="6"/>
    <x v="0"/>
    <n v="9"/>
    <x v="36"/>
    <x v="1"/>
    <x v="86"/>
    <x v="1"/>
    <s v="No"/>
    <x v="57"/>
    <n v="4.8099999999999996"/>
    <n v="3.34"/>
    <s v="Average"/>
    <x v="0"/>
    <x v="1"/>
  </r>
  <r>
    <x v="88"/>
    <x v="1"/>
    <n v="18"/>
    <x v="3"/>
    <x v="0"/>
    <n v="6"/>
    <x v="4"/>
    <x v="2"/>
    <x v="87"/>
    <x v="0"/>
    <s v="Yes"/>
    <x v="74"/>
    <n v="4.63"/>
    <n v="4.16"/>
    <s v="Good"/>
    <x v="0"/>
    <x v="0"/>
  </r>
  <r>
    <x v="89"/>
    <x v="1"/>
    <n v="16"/>
    <x v="5"/>
    <x v="0"/>
    <n v="26"/>
    <x v="26"/>
    <x v="0"/>
    <x v="88"/>
    <x v="1"/>
    <s v="Yes"/>
    <x v="75"/>
    <n v="3.53"/>
    <n v="4.1100000000000003"/>
    <s v="Good"/>
    <x v="1"/>
    <x v="0"/>
  </r>
  <r>
    <x v="90"/>
    <x v="1"/>
    <n v="18"/>
    <x v="7"/>
    <x v="0"/>
    <n v="20"/>
    <x v="10"/>
    <x v="0"/>
    <x v="89"/>
    <x v="0"/>
    <s v="Yes"/>
    <x v="76"/>
    <n v="4.28"/>
    <n v="4.4800000000000004"/>
    <s v="Good"/>
    <x v="1"/>
    <x v="0"/>
  </r>
  <r>
    <x v="91"/>
    <x v="1"/>
    <n v="17"/>
    <x v="1"/>
    <x v="0"/>
    <n v="29"/>
    <x v="30"/>
    <x v="2"/>
    <x v="90"/>
    <x v="1"/>
    <s v="No"/>
    <x v="77"/>
    <n v="4.29"/>
    <n v="4"/>
    <s v="Good"/>
    <x v="1"/>
    <x v="1"/>
  </r>
  <r>
    <x v="92"/>
    <x v="1"/>
    <n v="18"/>
    <x v="2"/>
    <x v="1"/>
    <n v="6"/>
    <x v="16"/>
    <x v="1"/>
    <x v="91"/>
    <x v="0"/>
    <s v="No"/>
    <x v="14"/>
    <n v="4.0999999999999996"/>
    <n v="3.54"/>
    <s v="Good"/>
    <x v="0"/>
    <x v="1"/>
  </r>
  <r>
    <x v="93"/>
    <x v="1"/>
    <n v="17"/>
    <x v="7"/>
    <x v="0"/>
    <n v="14"/>
    <x v="37"/>
    <x v="2"/>
    <x v="92"/>
    <x v="1"/>
    <s v="No"/>
    <x v="73"/>
    <n v="3.95"/>
    <n v="3.34"/>
    <s v="Average"/>
    <x v="0"/>
    <x v="1"/>
  </r>
  <r>
    <x v="94"/>
    <x v="1"/>
    <n v="16"/>
    <x v="0"/>
    <x v="1"/>
    <n v="6"/>
    <x v="37"/>
    <x v="2"/>
    <x v="93"/>
    <x v="1"/>
    <s v="No"/>
    <x v="71"/>
    <n v="4.5199999999999996"/>
    <n v="4.24"/>
    <s v="Good"/>
    <x v="0"/>
    <x v="0"/>
  </r>
  <r>
    <x v="95"/>
    <x v="1"/>
    <n v="16"/>
    <x v="4"/>
    <x v="0"/>
    <n v="20"/>
    <x v="3"/>
    <x v="0"/>
    <x v="94"/>
    <x v="1"/>
    <s v="No"/>
    <x v="36"/>
    <n v="3.81"/>
    <n v="4.4400000000000004"/>
    <s v="Good"/>
    <x v="1"/>
    <x v="1"/>
  </r>
  <r>
    <x v="96"/>
    <x v="1"/>
    <n v="16"/>
    <x v="7"/>
    <x v="0"/>
    <n v="20"/>
    <x v="24"/>
    <x v="1"/>
    <x v="95"/>
    <x v="1"/>
    <s v="Yes"/>
    <x v="27"/>
    <n v="4.7"/>
    <n v="4.1399999999999997"/>
    <s v="Good"/>
    <x v="1"/>
    <x v="0"/>
  </r>
  <r>
    <x v="97"/>
    <x v="1"/>
    <n v="16"/>
    <x v="7"/>
    <x v="1"/>
    <n v="23"/>
    <x v="16"/>
    <x v="3"/>
    <x v="96"/>
    <x v="0"/>
    <s v="No"/>
    <x v="53"/>
    <n v="4.7"/>
    <n v="4.4800000000000004"/>
    <s v="Good"/>
    <x v="1"/>
    <x v="1"/>
  </r>
  <r>
    <x v="98"/>
    <x v="1"/>
    <n v="16"/>
    <x v="2"/>
    <x v="0"/>
    <n v="11"/>
    <x v="9"/>
    <x v="1"/>
    <x v="97"/>
    <x v="0"/>
    <s v="No"/>
    <x v="20"/>
    <n v="4.12"/>
    <n v="3.28"/>
    <s v="Average"/>
    <x v="0"/>
    <x v="1"/>
  </r>
  <r>
    <x v="99"/>
    <x v="0"/>
    <n v="17"/>
    <x v="4"/>
    <x v="1"/>
    <n v="26"/>
    <x v="21"/>
    <x v="2"/>
    <x v="98"/>
    <x v="0"/>
    <s v="No"/>
    <x v="23"/>
    <n v="3.93"/>
    <n v="4.76"/>
    <s v="Excellent"/>
    <x v="1"/>
    <x v="0"/>
  </r>
  <r>
    <x v="100"/>
    <x v="0"/>
    <n v="17"/>
    <x v="0"/>
    <x v="1"/>
    <n v="16"/>
    <x v="21"/>
    <x v="2"/>
    <x v="99"/>
    <x v="0"/>
    <s v="Yes"/>
    <x v="78"/>
    <n v="3.93"/>
    <n v="4.16"/>
    <s v="Good"/>
    <x v="1"/>
    <x v="1"/>
  </r>
  <r>
    <x v="101"/>
    <x v="1"/>
    <n v="16"/>
    <x v="5"/>
    <x v="1"/>
    <n v="28"/>
    <x v="18"/>
    <x v="2"/>
    <x v="100"/>
    <x v="0"/>
    <s v="No"/>
    <x v="16"/>
    <n v="4.22"/>
    <n v="3.25"/>
    <s v="Average"/>
    <x v="1"/>
    <x v="1"/>
  </r>
  <r>
    <x v="102"/>
    <x v="1"/>
    <n v="18"/>
    <x v="5"/>
    <x v="1"/>
    <n v="19"/>
    <x v="17"/>
    <x v="1"/>
    <x v="101"/>
    <x v="0"/>
    <s v="Yes"/>
    <x v="79"/>
    <n v="4.58"/>
    <n v="3.92"/>
    <s v="Good"/>
    <x v="1"/>
    <x v="1"/>
  </r>
  <r>
    <x v="103"/>
    <x v="1"/>
    <n v="15"/>
    <x v="7"/>
    <x v="0"/>
    <n v="12"/>
    <x v="16"/>
    <x v="0"/>
    <x v="102"/>
    <x v="0"/>
    <s v="Yes"/>
    <x v="80"/>
    <n v="4.04"/>
    <n v="4.6900000000000004"/>
    <s v="Excellent"/>
    <x v="0"/>
    <x v="1"/>
  </r>
  <r>
    <x v="104"/>
    <x v="1"/>
    <n v="16"/>
    <x v="3"/>
    <x v="0"/>
    <n v="10"/>
    <x v="18"/>
    <x v="2"/>
    <x v="103"/>
    <x v="1"/>
    <s v="Yes"/>
    <x v="81"/>
    <n v="4.42"/>
    <n v="4.8"/>
    <s v="Excellent"/>
    <x v="0"/>
    <x v="0"/>
  </r>
  <r>
    <x v="105"/>
    <x v="1"/>
    <n v="18"/>
    <x v="3"/>
    <x v="1"/>
    <n v="14"/>
    <x v="5"/>
    <x v="2"/>
    <x v="104"/>
    <x v="1"/>
    <s v="Yes"/>
    <x v="82"/>
    <n v="4.07"/>
    <n v="3.53"/>
    <s v="Good"/>
    <x v="0"/>
    <x v="0"/>
  </r>
  <r>
    <x v="106"/>
    <x v="1"/>
    <n v="15"/>
    <x v="4"/>
    <x v="0"/>
    <n v="7"/>
    <x v="37"/>
    <x v="1"/>
    <x v="105"/>
    <x v="1"/>
    <s v="Yes"/>
    <x v="15"/>
    <n v="3.96"/>
    <n v="4.42"/>
    <s v="Good"/>
    <x v="0"/>
    <x v="1"/>
  </r>
  <r>
    <x v="107"/>
    <x v="1"/>
    <n v="16"/>
    <x v="4"/>
    <x v="0"/>
    <n v="23"/>
    <x v="0"/>
    <x v="3"/>
    <x v="106"/>
    <x v="1"/>
    <s v="No"/>
    <x v="83"/>
    <n v="3.54"/>
    <n v="3.2"/>
    <s v="Average"/>
    <x v="1"/>
    <x v="1"/>
  </r>
  <r>
    <x v="108"/>
    <x v="1"/>
    <n v="16"/>
    <x v="0"/>
    <x v="1"/>
    <n v="21"/>
    <x v="28"/>
    <x v="3"/>
    <x v="107"/>
    <x v="0"/>
    <s v="No"/>
    <x v="7"/>
    <n v="3.51"/>
    <n v="3.07"/>
    <s v="Average"/>
    <x v="1"/>
    <x v="1"/>
  </r>
  <r>
    <x v="109"/>
    <x v="0"/>
    <n v="17"/>
    <x v="2"/>
    <x v="0"/>
    <n v="11"/>
    <x v="24"/>
    <x v="0"/>
    <x v="108"/>
    <x v="0"/>
    <s v="Yes"/>
    <x v="78"/>
    <n v="3.84"/>
    <n v="4.12"/>
    <s v="Good"/>
    <x v="0"/>
    <x v="1"/>
  </r>
  <r>
    <x v="110"/>
    <x v="1"/>
    <n v="15"/>
    <x v="1"/>
    <x v="1"/>
    <n v="25"/>
    <x v="25"/>
    <x v="0"/>
    <x v="109"/>
    <x v="0"/>
    <s v="Yes"/>
    <x v="84"/>
    <n v="4.1100000000000003"/>
    <n v="4.3899999999999997"/>
    <s v="Good"/>
    <x v="1"/>
    <x v="0"/>
  </r>
  <r>
    <x v="111"/>
    <x v="0"/>
    <n v="15"/>
    <x v="5"/>
    <x v="1"/>
    <n v="24"/>
    <x v="3"/>
    <x v="2"/>
    <x v="110"/>
    <x v="1"/>
    <s v="Yes"/>
    <x v="51"/>
    <n v="4.78"/>
    <n v="4.59"/>
    <s v="Excellent"/>
    <x v="1"/>
    <x v="0"/>
  </r>
  <r>
    <x v="112"/>
    <x v="1"/>
    <n v="18"/>
    <x v="2"/>
    <x v="0"/>
    <n v="8"/>
    <x v="28"/>
    <x v="1"/>
    <x v="111"/>
    <x v="0"/>
    <s v="No"/>
    <x v="85"/>
    <n v="4.7"/>
    <n v="3.68"/>
    <s v="Good"/>
    <x v="0"/>
    <x v="1"/>
  </r>
  <r>
    <x v="113"/>
    <x v="1"/>
    <n v="17"/>
    <x v="6"/>
    <x v="0"/>
    <n v="18"/>
    <x v="23"/>
    <x v="2"/>
    <x v="112"/>
    <x v="1"/>
    <s v="No"/>
    <x v="86"/>
    <n v="3.9"/>
    <n v="3.01"/>
    <s v="Average"/>
    <x v="1"/>
    <x v="1"/>
  </r>
  <r>
    <x v="114"/>
    <x v="0"/>
    <n v="17"/>
    <x v="5"/>
    <x v="0"/>
    <n v="24"/>
    <x v="2"/>
    <x v="0"/>
    <x v="113"/>
    <x v="0"/>
    <s v="Yes"/>
    <x v="87"/>
    <n v="3.87"/>
    <n v="3.96"/>
    <s v="Good"/>
    <x v="1"/>
    <x v="1"/>
  </r>
  <r>
    <x v="115"/>
    <x v="1"/>
    <n v="17"/>
    <x v="2"/>
    <x v="1"/>
    <n v="26"/>
    <x v="31"/>
    <x v="1"/>
    <x v="114"/>
    <x v="0"/>
    <s v="No"/>
    <x v="44"/>
    <n v="3.84"/>
    <n v="3.03"/>
    <s v="Average"/>
    <x v="1"/>
    <x v="1"/>
  </r>
  <r>
    <x v="116"/>
    <x v="0"/>
    <n v="17"/>
    <x v="5"/>
    <x v="1"/>
    <n v="19"/>
    <x v="29"/>
    <x v="1"/>
    <x v="115"/>
    <x v="0"/>
    <s v="No"/>
    <x v="88"/>
    <n v="4.01"/>
    <n v="3.18"/>
    <s v="Average"/>
    <x v="1"/>
    <x v="1"/>
  </r>
  <r>
    <x v="117"/>
    <x v="1"/>
    <n v="15"/>
    <x v="1"/>
    <x v="0"/>
    <n v="28"/>
    <x v="34"/>
    <x v="0"/>
    <x v="116"/>
    <x v="0"/>
    <s v="Yes"/>
    <x v="89"/>
    <n v="4.25"/>
    <n v="3.65"/>
    <s v="Good"/>
    <x v="1"/>
    <x v="0"/>
  </r>
  <r>
    <x v="118"/>
    <x v="1"/>
    <n v="15"/>
    <x v="6"/>
    <x v="0"/>
    <n v="12"/>
    <x v="34"/>
    <x v="3"/>
    <x v="117"/>
    <x v="1"/>
    <s v="Yes"/>
    <x v="90"/>
    <n v="4.16"/>
    <n v="3.87"/>
    <s v="Good"/>
    <x v="0"/>
    <x v="1"/>
  </r>
  <r>
    <x v="119"/>
    <x v="0"/>
    <n v="16"/>
    <x v="3"/>
    <x v="0"/>
    <n v="25"/>
    <x v="26"/>
    <x v="3"/>
    <x v="118"/>
    <x v="1"/>
    <s v="No"/>
    <x v="35"/>
    <n v="3.83"/>
    <n v="3.56"/>
    <s v="Good"/>
    <x v="1"/>
    <x v="1"/>
  </r>
  <r>
    <x v="120"/>
    <x v="1"/>
    <n v="16"/>
    <x v="3"/>
    <x v="0"/>
    <n v="19"/>
    <x v="26"/>
    <x v="1"/>
    <x v="119"/>
    <x v="0"/>
    <s v="No"/>
    <x v="38"/>
    <n v="3.7"/>
    <n v="4.16"/>
    <s v="Good"/>
    <x v="1"/>
    <x v="0"/>
  </r>
  <r>
    <x v="121"/>
    <x v="0"/>
    <n v="17"/>
    <x v="1"/>
    <x v="1"/>
    <n v="26"/>
    <x v="12"/>
    <x v="2"/>
    <x v="120"/>
    <x v="1"/>
    <s v="No"/>
    <x v="91"/>
    <n v="3.52"/>
    <n v="3.11"/>
    <s v="Average"/>
    <x v="1"/>
    <x v="1"/>
  </r>
  <r>
    <x v="122"/>
    <x v="1"/>
    <n v="17"/>
    <x v="0"/>
    <x v="0"/>
    <n v="24"/>
    <x v="17"/>
    <x v="3"/>
    <x v="121"/>
    <x v="0"/>
    <s v="Yes"/>
    <x v="92"/>
    <n v="3.73"/>
    <n v="3.29"/>
    <s v="Average"/>
    <x v="1"/>
    <x v="1"/>
  </r>
  <r>
    <x v="123"/>
    <x v="0"/>
    <n v="17"/>
    <x v="6"/>
    <x v="1"/>
    <n v="18"/>
    <x v="38"/>
    <x v="2"/>
    <x v="122"/>
    <x v="0"/>
    <s v="Yes"/>
    <x v="63"/>
    <n v="4.5599999999999996"/>
    <n v="4.3899999999999997"/>
    <s v="Good"/>
    <x v="1"/>
    <x v="0"/>
  </r>
  <r>
    <x v="124"/>
    <x v="0"/>
    <n v="16"/>
    <x v="7"/>
    <x v="1"/>
    <n v="13"/>
    <x v="25"/>
    <x v="3"/>
    <x v="123"/>
    <x v="0"/>
    <s v="Yes"/>
    <x v="93"/>
    <n v="3.87"/>
    <n v="3.28"/>
    <s v="Average"/>
    <x v="0"/>
    <x v="1"/>
  </r>
  <r>
    <x v="125"/>
    <x v="1"/>
    <n v="18"/>
    <x v="2"/>
    <x v="0"/>
    <n v="12"/>
    <x v="35"/>
    <x v="3"/>
    <x v="124"/>
    <x v="0"/>
    <s v="No"/>
    <x v="26"/>
    <n v="4.2"/>
    <n v="4.28"/>
    <s v="Good"/>
    <x v="0"/>
    <x v="0"/>
  </r>
  <r>
    <x v="126"/>
    <x v="1"/>
    <n v="18"/>
    <x v="6"/>
    <x v="0"/>
    <n v="21"/>
    <x v="2"/>
    <x v="2"/>
    <x v="125"/>
    <x v="1"/>
    <s v="No"/>
    <x v="20"/>
    <n v="4.3899999999999997"/>
    <n v="3.11"/>
    <s v="Average"/>
    <x v="1"/>
    <x v="1"/>
  </r>
  <r>
    <x v="127"/>
    <x v="0"/>
    <n v="16"/>
    <x v="0"/>
    <x v="0"/>
    <n v="6"/>
    <x v="35"/>
    <x v="0"/>
    <x v="126"/>
    <x v="0"/>
    <s v="Yes"/>
    <x v="31"/>
    <n v="4.83"/>
    <n v="3.81"/>
    <s v="Good"/>
    <x v="0"/>
    <x v="1"/>
  </r>
  <r>
    <x v="128"/>
    <x v="1"/>
    <n v="16"/>
    <x v="0"/>
    <x v="1"/>
    <n v="29"/>
    <x v="31"/>
    <x v="3"/>
    <x v="127"/>
    <x v="0"/>
    <s v="No"/>
    <x v="31"/>
    <n v="4.83"/>
    <n v="3.35"/>
    <s v="Average"/>
    <x v="1"/>
    <x v="1"/>
  </r>
  <r>
    <x v="129"/>
    <x v="1"/>
    <n v="16"/>
    <x v="1"/>
    <x v="0"/>
    <n v="28"/>
    <x v="5"/>
    <x v="3"/>
    <x v="128"/>
    <x v="1"/>
    <s v="Yes"/>
    <x v="10"/>
    <n v="4.62"/>
    <n v="3.22"/>
    <s v="Average"/>
    <x v="1"/>
    <x v="0"/>
  </r>
  <r>
    <x v="130"/>
    <x v="1"/>
    <n v="16"/>
    <x v="5"/>
    <x v="0"/>
    <n v="7"/>
    <x v="39"/>
    <x v="2"/>
    <x v="129"/>
    <x v="0"/>
    <s v="No"/>
    <x v="94"/>
    <n v="3.55"/>
    <n v="4.13"/>
    <s v="Good"/>
    <x v="0"/>
    <x v="0"/>
  </r>
  <r>
    <x v="131"/>
    <x v="0"/>
    <n v="16"/>
    <x v="6"/>
    <x v="1"/>
    <n v="12"/>
    <x v="37"/>
    <x v="0"/>
    <x v="130"/>
    <x v="1"/>
    <s v="Yes"/>
    <x v="95"/>
    <n v="4.3600000000000003"/>
    <n v="4.8600000000000003"/>
    <s v="Excellent"/>
    <x v="0"/>
    <x v="0"/>
  </r>
  <r>
    <x v="132"/>
    <x v="0"/>
    <n v="16"/>
    <x v="2"/>
    <x v="0"/>
    <n v="16"/>
    <x v="7"/>
    <x v="3"/>
    <x v="131"/>
    <x v="0"/>
    <s v="No"/>
    <x v="18"/>
    <n v="4.68"/>
    <n v="3.11"/>
    <s v="Average"/>
    <x v="1"/>
    <x v="1"/>
  </r>
  <r>
    <x v="133"/>
    <x v="0"/>
    <n v="17"/>
    <x v="6"/>
    <x v="1"/>
    <n v="5"/>
    <x v="0"/>
    <x v="3"/>
    <x v="132"/>
    <x v="0"/>
    <s v="No"/>
    <x v="52"/>
    <n v="3.53"/>
    <n v="3.84"/>
    <s v="Good"/>
    <x v="0"/>
    <x v="1"/>
  </r>
  <r>
    <x v="134"/>
    <x v="0"/>
    <n v="17"/>
    <x v="4"/>
    <x v="0"/>
    <n v="14"/>
    <x v="38"/>
    <x v="0"/>
    <x v="133"/>
    <x v="0"/>
    <s v="Yes"/>
    <x v="90"/>
    <n v="4.32"/>
    <n v="4.42"/>
    <s v="Good"/>
    <x v="0"/>
    <x v="0"/>
  </r>
  <r>
    <x v="135"/>
    <x v="0"/>
    <n v="17"/>
    <x v="5"/>
    <x v="1"/>
    <n v="24"/>
    <x v="37"/>
    <x v="3"/>
    <x v="134"/>
    <x v="0"/>
    <s v="Yes"/>
    <x v="96"/>
    <n v="4.79"/>
    <n v="3.93"/>
    <s v="Good"/>
    <x v="1"/>
    <x v="0"/>
  </r>
  <r>
    <x v="136"/>
    <x v="0"/>
    <n v="17"/>
    <x v="2"/>
    <x v="0"/>
    <n v="7"/>
    <x v="12"/>
    <x v="0"/>
    <x v="135"/>
    <x v="0"/>
    <s v="Yes"/>
    <x v="97"/>
    <n v="4.21"/>
    <n v="4.6100000000000003"/>
    <s v="Excellent"/>
    <x v="0"/>
    <x v="0"/>
  </r>
  <r>
    <x v="137"/>
    <x v="0"/>
    <n v="16"/>
    <x v="3"/>
    <x v="0"/>
    <n v="10"/>
    <x v="23"/>
    <x v="0"/>
    <x v="136"/>
    <x v="0"/>
    <s v="Yes"/>
    <x v="81"/>
    <n v="3.51"/>
    <n v="3.36"/>
    <s v="Average"/>
    <x v="0"/>
    <x v="0"/>
  </r>
  <r>
    <x v="138"/>
    <x v="0"/>
    <n v="18"/>
    <x v="2"/>
    <x v="1"/>
    <n v="11"/>
    <x v="1"/>
    <x v="2"/>
    <x v="137"/>
    <x v="1"/>
    <s v="Yes"/>
    <x v="42"/>
    <n v="3.52"/>
    <n v="4.92"/>
    <s v="Excellent"/>
    <x v="0"/>
    <x v="0"/>
  </r>
  <r>
    <x v="139"/>
    <x v="0"/>
    <n v="15"/>
    <x v="7"/>
    <x v="1"/>
    <n v="24"/>
    <x v="35"/>
    <x v="1"/>
    <x v="138"/>
    <x v="0"/>
    <s v="No"/>
    <x v="98"/>
    <n v="4.12"/>
    <n v="3.77"/>
    <s v="Good"/>
    <x v="1"/>
    <x v="0"/>
  </r>
  <r>
    <x v="140"/>
    <x v="1"/>
    <n v="16"/>
    <x v="1"/>
    <x v="0"/>
    <n v="27"/>
    <x v="16"/>
    <x v="0"/>
    <x v="139"/>
    <x v="1"/>
    <s v="Yes"/>
    <x v="99"/>
    <n v="3.73"/>
    <n v="3.68"/>
    <s v="Good"/>
    <x v="1"/>
    <x v="0"/>
  </r>
  <r>
    <x v="141"/>
    <x v="0"/>
    <n v="15"/>
    <x v="7"/>
    <x v="1"/>
    <n v="29"/>
    <x v="35"/>
    <x v="2"/>
    <x v="140"/>
    <x v="1"/>
    <s v="Yes"/>
    <x v="73"/>
    <n v="4.5"/>
    <n v="4.75"/>
    <s v="Excellent"/>
    <x v="1"/>
    <x v="0"/>
  </r>
  <r>
    <x v="142"/>
    <x v="1"/>
    <n v="18"/>
    <x v="2"/>
    <x v="1"/>
    <n v="22"/>
    <x v="3"/>
    <x v="1"/>
    <x v="141"/>
    <x v="0"/>
    <s v="Yes"/>
    <x v="7"/>
    <n v="4.5599999999999996"/>
    <n v="4.13"/>
    <s v="Good"/>
    <x v="1"/>
    <x v="0"/>
  </r>
  <r>
    <x v="143"/>
    <x v="1"/>
    <n v="17"/>
    <x v="5"/>
    <x v="1"/>
    <n v="15"/>
    <x v="33"/>
    <x v="3"/>
    <x v="142"/>
    <x v="1"/>
    <s v="Yes"/>
    <x v="67"/>
    <n v="3.77"/>
    <n v="4.03"/>
    <s v="Good"/>
    <x v="1"/>
    <x v="0"/>
  </r>
  <r>
    <x v="144"/>
    <x v="1"/>
    <n v="18"/>
    <x v="6"/>
    <x v="1"/>
    <n v="23"/>
    <x v="8"/>
    <x v="1"/>
    <x v="143"/>
    <x v="0"/>
    <s v="Yes"/>
    <x v="10"/>
    <n v="4.83"/>
    <n v="4.45"/>
    <s v="Good"/>
    <x v="1"/>
    <x v="0"/>
  </r>
  <r>
    <x v="145"/>
    <x v="0"/>
    <n v="16"/>
    <x v="3"/>
    <x v="0"/>
    <n v="9"/>
    <x v="0"/>
    <x v="0"/>
    <x v="144"/>
    <x v="1"/>
    <s v="No"/>
    <x v="100"/>
    <n v="4.16"/>
    <n v="4.16"/>
    <s v="Good"/>
    <x v="0"/>
    <x v="0"/>
  </r>
  <r>
    <x v="146"/>
    <x v="0"/>
    <n v="17"/>
    <x v="6"/>
    <x v="0"/>
    <n v="23"/>
    <x v="17"/>
    <x v="0"/>
    <x v="145"/>
    <x v="0"/>
    <s v="Yes"/>
    <x v="68"/>
    <n v="3.71"/>
    <n v="3.33"/>
    <s v="Average"/>
    <x v="1"/>
    <x v="1"/>
  </r>
  <r>
    <x v="147"/>
    <x v="0"/>
    <n v="16"/>
    <x v="5"/>
    <x v="1"/>
    <n v="15"/>
    <x v="28"/>
    <x v="0"/>
    <x v="146"/>
    <x v="1"/>
    <s v="Yes"/>
    <x v="101"/>
    <n v="4.6500000000000004"/>
    <n v="4.3499999999999996"/>
    <s v="Good"/>
    <x v="1"/>
    <x v="0"/>
  </r>
  <r>
    <x v="148"/>
    <x v="0"/>
    <n v="17"/>
    <x v="2"/>
    <x v="1"/>
    <n v="28"/>
    <x v="31"/>
    <x v="0"/>
    <x v="147"/>
    <x v="1"/>
    <s v="Yes"/>
    <x v="12"/>
    <n v="4.68"/>
    <n v="3.27"/>
    <s v="Average"/>
    <x v="1"/>
    <x v="1"/>
  </r>
  <r>
    <x v="149"/>
    <x v="1"/>
    <n v="15"/>
    <x v="0"/>
    <x v="1"/>
    <n v="16"/>
    <x v="2"/>
    <x v="0"/>
    <x v="148"/>
    <x v="0"/>
    <s v="No"/>
    <x v="94"/>
    <n v="4.46"/>
    <n v="4.6100000000000003"/>
    <s v="Excellent"/>
    <x v="1"/>
    <x v="0"/>
  </r>
  <r>
    <x v="150"/>
    <x v="0"/>
    <n v="15"/>
    <x v="6"/>
    <x v="1"/>
    <n v="14"/>
    <x v="19"/>
    <x v="2"/>
    <x v="149"/>
    <x v="1"/>
    <s v="No"/>
    <x v="102"/>
    <n v="4.78"/>
    <n v="4.9800000000000004"/>
    <s v="Excellent"/>
    <x v="0"/>
    <x v="0"/>
  </r>
  <r>
    <x v="151"/>
    <x v="0"/>
    <n v="15"/>
    <x v="0"/>
    <x v="0"/>
    <n v="12"/>
    <x v="12"/>
    <x v="0"/>
    <x v="150"/>
    <x v="0"/>
    <s v="Yes"/>
    <x v="103"/>
    <n v="4.6100000000000003"/>
    <n v="3.75"/>
    <s v="Good"/>
    <x v="0"/>
    <x v="0"/>
  </r>
  <r>
    <x v="152"/>
    <x v="0"/>
    <n v="18"/>
    <x v="6"/>
    <x v="0"/>
    <n v="28"/>
    <x v="0"/>
    <x v="2"/>
    <x v="151"/>
    <x v="0"/>
    <s v="Yes"/>
    <x v="104"/>
    <n v="4.82"/>
    <n v="3.89"/>
    <s v="Good"/>
    <x v="1"/>
    <x v="0"/>
  </r>
  <r>
    <x v="153"/>
    <x v="0"/>
    <n v="16"/>
    <x v="6"/>
    <x v="1"/>
    <n v="13"/>
    <x v="32"/>
    <x v="3"/>
    <x v="152"/>
    <x v="0"/>
    <s v="No"/>
    <x v="105"/>
    <n v="4.1500000000000004"/>
    <n v="3.09"/>
    <s v="Average"/>
    <x v="0"/>
    <x v="1"/>
  </r>
  <r>
    <x v="154"/>
    <x v="0"/>
    <n v="18"/>
    <x v="3"/>
    <x v="1"/>
    <n v="8"/>
    <x v="22"/>
    <x v="0"/>
    <x v="153"/>
    <x v="0"/>
    <s v="No"/>
    <x v="35"/>
    <n v="4.62"/>
    <n v="3.03"/>
    <s v="Average"/>
    <x v="0"/>
    <x v="1"/>
  </r>
  <r>
    <x v="155"/>
    <x v="1"/>
    <n v="15"/>
    <x v="1"/>
    <x v="1"/>
    <n v="9"/>
    <x v="27"/>
    <x v="0"/>
    <x v="154"/>
    <x v="0"/>
    <s v="No"/>
    <x v="89"/>
    <n v="5"/>
    <n v="4.84"/>
    <s v="Excellent"/>
    <x v="0"/>
    <x v="0"/>
  </r>
  <r>
    <x v="156"/>
    <x v="0"/>
    <n v="16"/>
    <x v="1"/>
    <x v="0"/>
    <n v="25"/>
    <x v="19"/>
    <x v="1"/>
    <x v="155"/>
    <x v="1"/>
    <s v="Yes"/>
    <x v="106"/>
    <n v="4.59"/>
    <n v="3.26"/>
    <s v="Average"/>
    <x v="1"/>
    <x v="2"/>
  </r>
  <r>
    <x v="157"/>
    <x v="1"/>
    <n v="15"/>
    <x v="4"/>
    <x v="1"/>
    <n v="12"/>
    <x v="35"/>
    <x v="3"/>
    <x v="156"/>
    <x v="1"/>
    <s v="Yes"/>
    <x v="107"/>
    <n v="3.67"/>
    <n v="3.89"/>
    <s v="Good"/>
    <x v="0"/>
    <x v="1"/>
  </r>
  <r>
    <x v="158"/>
    <x v="0"/>
    <n v="18"/>
    <x v="7"/>
    <x v="0"/>
    <n v="27"/>
    <x v="39"/>
    <x v="0"/>
    <x v="157"/>
    <x v="1"/>
    <s v="No"/>
    <x v="108"/>
    <n v="4.28"/>
    <n v="4.63"/>
    <s v="Excellent"/>
    <x v="1"/>
    <x v="0"/>
  </r>
  <r>
    <x v="159"/>
    <x v="1"/>
    <n v="18"/>
    <x v="5"/>
    <x v="1"/>
    <n v="13"/>
    <x v="7"/>
    <x v="0"/>
    <x v="158"/>
    <x v="0"/>
    <s v="Yes"/>
    <x v="89"/>
    <n v="4.38"/>
    <n v="4.78"/>
    <s v="Excellent"/>
    <x v="0"/>
    <x v="0"/>
  </r>
  <r>
    <x v="160"/>
    <x v="0"/>
    <n v="18"/>
    <x v="5"/>
    <x v="0"/>
    <n v="19"/>
    <x v="0"/>
    <x v="3"/>
    <x v="159"/>
    <x v="1"/>
    <s v="No"/>
    <x v="109"/>
    <n v="3.76"/>
    <n v="4.04"/>
    <s v="Good"/>
    <x v="1"/>
    <x v="1"/>
  </r>
  <r>
    <x v="161"/>
    <x v="0"/>
    <n v="15"/>
    <x v="5"/>
    <x v="1"/>
    <n v="19"/>
    <x v="24"/>
    <x v="2"/>
    <x v="160"/>
    <x v="1"/>
    <s v="No"/>
    <x v="3"/>
    <n v="4.9400000000000004"/>
    <n v="4.13"/>
    <s v="Good"/>
    <x v="1"/>
    <x v="1"/>
  </r>
  <r>
    <x v="162"/>
    <x v="1"/>
    <n v="16"/>
    <x v="4"/>
    <x v="0"/>
    <n v="20"/>
    <x v="22"/>
    <x v="0"/>
    <x v="161"/>
    <x v="1"/>
    <s v="No"/>
    <x v="95"/>
    <n v="3.76"/>
    <n v="4.34"/>
    <s v="Good"/>
    <x v="1"/>
    <x v="0"/>
  </r>
  <r>
    <x v="163"/>
    <x v="1"/>
    <n v="16"/>
    <x v="1"/>
    <x v="1"/>
    <n v="18"/>
    <x v="36"/>
    <x v="1"/>
    <x v="162"/>
    <x v="1"/>
    <s v="Yes"/>
    <x v="110"/>
    <n v="3.77"/>
    <n v="4.92"/>
    <s v="Excellent"/>
    <x v="1"/>
    <x v="0"/>
  </r>
  <r>
    <x v="164"/>
    <x v="1"/>
    <n v="15"/>
    <x v="2"/>
    <x v="1"/>
    <n v="12"/>
    <x v="26"/>
    <x v="0"/>
    <x v="163"/>
    <x v="1"/>
    <s v="No"/>
    <x v="73"/>
    <n v="4.87"/>
    <n v="4.21"/>
    <s v="Good"/>
    <x v="0"/>
    <x v="0"/>
  </r>
  <r>
    <x v="165"/>
    <x v="0"/>
    <n v="16"/>
    <x v="0"/>
    <x v="1"/>
    <n v="22"/>
    <x v="38"/>
    <x v="1"/>
    <x v="164"/>
    <x v="0"/>
    <s v="No"/>
    <x v="111"/>
    <n v="4.2"/>
    <n v="4.12"/>
    <s v="Good"/>
    <x v="1"/>
    <x v="0"/>
  </r>
  <r>
    <x v="166"/>
    <x v="1"/>
    <n v="15"/>
    <x v="3"/>
    <x v="0"/>
    <n v="14"/>
    <x v="37"/>
    <x v="1"/>
    <x v="165"/>
    <x v="0"/>
    <s v="Yes"/>
    <x v="20"/>
    <n v="3.59"/>
    <n v="3.03"/>
    <s v="Average"/>
    <x v="0"/>
    <x v="1"/>
  </r>
  <r>
    <x v="167"/>
    <x v="0"/>
    <n v="16"/>
    <x v="0"/>
    <x v="1"/>
    <n v="24"/>
    <x v="6"/>
    <x v="0"/>
    <x v="166"/>
    <x v="1"/>
    <s v="No"/>
    <x v="112"/>
    <n v="4.4000000000000004"/>
    <n v="3.16"/>
    <s v="Average"/>
    <x v="1"/>
    <x v="1"/>
  </r>
  <r>
    <x v="168"/>
    <x v="0"/>
    <n v="17"/>
    <x v="2"/>
    <x v="0"/>
    <n v="10"/>
    <x v="39"/>
    <x v="0"/>
    <x v="167"/>
    <x v="0"/>
    <s v="Yes"/>
    <x v="95"/>
    <n v="4.4000000000000004"/>
    <n v="4.1500000000000004"/>
    <s v="Good"/>
    <x v="0"/>
    <x v="0"/>
  </r>
  <r>
    <x v="169"/>
    <x v="1"/>
    <n v="17"/>
    <x v="3"/>
    <x v="0"/>
    <n v="16"/>
    <x v="30"/>
    <x v="1"/>
    <x v="168"/>
    <x v="0"/>
    <s v="No"/>
    <x v="22"/>
    <n v="3.6"/>
    <n v="4.87"/>
    <s v="Excellent"/>
    <x v="1"/>
    <x v="1"/>
  </r>
  <r>
    <x v="170"/>
    <x v="1"/>
    <n v="18"/>
    <x v="4"/>
    <x v="1"/>
    <n v="6"/>
    <x v="22"/>
    <x v="3"/>
    <x v="169"/>
    <x v="1"/>
    <s v="Yes"/>
    <x v="70"/>
    <n v="4.96"/>
    <n v="4.7300000000000004"/>
    <s v="Excellent"/>
    <x v="0"/>
    <x v="1"/>
  </r>
  <r>
    <x v="171"/>
    <x v="0"/>
    <n v="17"/>
    <x v="2"/>
    <x v="1"/>
    <n v="11"/>
    <x v="23"/>
    <x v="3"/>
    <x v="170"/>
    <x v="1"/>
    <s v="No"/>
    <x v="113"/>
    <n v="4.32"/>
    <n v="4.97"/>
    <s v="Excellent"/>
    <x v="0"/>
    <x v="0"/>
  </r>
  <r>
    <x v="172"/>
    <x v="0"/>
    <n v="17"/>
    <x v="5"/>
    <x v="1"/>
    <n v="20"/>
    <x v="14"/>
    <x v="0"/>
    <x v="171"/>
    <x v="0"/>
    <s v="No"/>
    <x v="114"/>
    <n v="4.34"/>
    <n v="4.0599999999999996"/>
    <s v="Good"/>
    <x v="1"/>
    <x v="1"/>
  </r>
  <r>
    <x v="173"/>
    <x v="1"/>
    <n v="17"/>
    <x v="7"/>
    <x v="0"/>
    <n v="7"/>
    <x v="15"/>
    <x v="2"/>
    <x v="172"/>
    <x v="1"/>
    <s v="No"/>
    <x v="115"/>
    <n v="4.28"/>
    <n v="4.58"/>
    <s v="Excellent"/>
    <x v="0"/>
    <x v="0"/>
  </r>
  <r>
    <x v="174"/>
    <x v="1"/>
    <n v="15"/>
    <x v="6"/>
    <x v="1"/>
    <n v="17"/>
    <x v="33"/>
    <x v="3"/>
    <x v="173"/>
    <x v="0"/>
    <s v="No"/>
    <x v="116"/>
    <n v="4.42"/>
    <n v="4.68"/>
    <s v="Excellent"/>
    <x v="1"/>
    <x v="1"/>
  </r>
  <r>
    <x v="175"/>
    <x v="1"/>
    <n v="17"/>
    <x v="0"/>
    <x v="0"/>
    <n v="7"/>
    <x v="17"/>
    <x v="0"/>
    <x v="174"/>
    <x v="0"/>
    <s v="No"/>
    <x v="117"/>
    <n v="3.9"/>
    <n v="4.3"/>
    <s v="Good"/>
    <x v="0"/>
    <x v="0"/>
  </r>
  <r>
    <x v="176"/>
    <x v="0"/>
    <n v="17"/>
    <x v="1"/>
    <x v="0"/>
    <n v="22"/>
    <x v="19"/>
    <x v="3"/>
    <x v="175"/>
    <x v="1"/>
    <s v="Yes"/>
    <x v="104"/>
    <n v="3.93"/>
    <n v="3.68"/>
    <s v="Good"/>
    <x v="1"/>
    <x v="0"/>
  </r>
  <r>
    <x v="177"/>
    <x v="0"/>
    <n v="18"/>
    <x v="1"/>
    <x v="1"/>
    <n v="15"/>
    <x v="4"/>
    <x v="2"/>
    <x v="176"/>
    <x v="0"/>
    <s v="Yes"/>
    <x v="81"/>
    <n v="4.2699999999999996"/>
    <n v="3.94"/>
    <s v="Good"/>
    <x v="1"/>
    <x v="0"/>
  </r>
  <r>
    <x v="178"/>
    <x v="0"/>
    <n v="17"/>
    <x v="4"/>
    <x v="1"/>
    <n v="12"/>
    <x v="29"/>
    <x v="0"/>
    <x v="177"/>
    <x v="0"/>
    <s v="No"/>
    <x v="23"/>
    <n v="4.71"/>
    <n v="4.72"/>
    <s v="Excellent"/>
    <x v="0"/>
    <x v="0"/>
  </r>
  <r>
    <x v="179"/>
    <x v="0"/>
    <n v="17"/>
    <x v="3"/>
    <x v="1"/>
    <n v="10"/>
    <x v="4"/>
    <x v="2"/>
    <x v="178"/>
    <x v="0"/>
    <s v="No"/>
    <x v="118"/>
    <n v="3.57"/>
    <n v="3.6"/>
    <s v="Good"/>
    <x v="0"/>
    <x v="1"/>
  </r>
  <r>
    <x v="180"/>
    <x v="0"/>
    <n v="16"/>
    <x v="1"/>
    <x v="1"/>
    <n v="5"/>
    <x v="30"/>
    <x v="0"/>
    <x v="179"/>
    <x v="1"/>
    <s v="No"/>
    <x v="72"/>
    <n v="4.41"/>
    <n v="4.8499999999999996"/>
    <s v="Excellent"/>
    <x v="0"/>
    <x v="0"/>
  </r>
  <r>
    <x v="181"/>
    <x v="0"/>
    <n v="18"/>
    <x v="5"/>
    <x v="1"/>
    <n v="5"/>
    <x v="34"/>
    <x v="2"/>
    <x v="180"/>
    <x v="1"/>
    <s v="Yes"/>
    <x v="119"/>
    <n v="4.71"/>
    <n v="3.46"/>
    <s v="Average"/>
    <x v="0"/>
    <x v="1"/>
  </r>
  <r>
    <x v="182"/>
    <x v="1"/>
    <n v="18"/>
    <x v="0"/>
    <x v="1"/>
    <n v="27"/>
    <x v="28"/>
    <x v="3"/>
    <x v="181"/>
    <x v="1"/>
    <s v="Yes"/>
    <x v="66"/>
    <n v="3.74"/>
    <n v="4.5"/>
    <s v="Excellent"/>
    <x v="1"/>
    <x v="0"/>
  </r>
  <r>
    <x v="183"/>
    <x v="0"/>
    <n v="18"/>
    <x v="2"/>
    <x v="0"/>
    <n v="12"/>
    <x v="24"/>
    <x v="3"/>
    <x v="182"/>
    <x v="1"/>
    <s v="No"/>
    <x v="84"/>
    <n v="3.52"/>
    <n v="4.26"/>
    <s v="Good"/>
    <x v="0"/>
    <x v="0"/>
  </r>
  <r>
    <x v="184"/>
    <x v="0"/>
    <n v="18"/>
    <x v="5"/>
    <x v="0"/>
    <n v="9"/>
    <x v="1"/>
    <x v="2"/>
    <x v="183"/>
    <x v="0"/>
    <s v="Yes"/>
    <x v="120"/>
    <n v="3.97"/>
    <n v="4.5"/>
    <s v="Excellent"/>
    <x v="0"/>
    <x v="0"/>
  </r>
  <r>
    <x v="185"/>
    <x v="0"/>
    <n v="18"/>
    <x v="4"/>
    <x v="0"/>
    <n v="20"/>
    <x v="0"/>
    <x v="2"/>
    <x v="184"/>
    <x v="1"/>
    <s v="No"/>
    <x v="121"/>
    <n v="4.38"/>
    <n v="3.87"/>
    <s v="Good"/>
    <x v="1"/>
    <x v="1"/>
  </r>
  <r>
    <x v="186"/>
    <x v="1"/>
    <n v="18"/>
    <x v="5"/>
    <x v="1"/>
    <n v="15"/>
    <x v="17"/>
    <x v="2"/>
    <x v="185"/>
    <x v="1"/>
    <s v="No"/>
    <x v="122"/>
    <n v="3.71"/>
    <n v="4.87"/>
    <s v="Excellent"/>
    <x v="1"/>
    <x v="2"/>
  </r>
  <r>
    <x v="187"/>
    <x v="0"/>
    <n v="15"/>
    <x v="2"/>
    <x v="0"/>
    <n v="9"/>
    <x v="0"/>
    <x v="0"/>
    <x v="186"/>
    <x v="1"/>
    <s v="No"/>
    <x v="1"/>
    <n v="4.1399999999999997"/>
    <n v="4.26"/>
    <s v="Good"/>
    <x v="0"/>
    <x v="1"/>
  </r>
  <r>
    <x v="188"/>
    <x v="0"/>
    <n v="17"/>
    <x v="7"/>
    <x v="0"/>
    <n v="8"/>
    <x v="19"/>
    <x v="3"/>
    <x v="187"/>
    <x v="1"/>
    <s v="Yes"/>
    <x v="17"/>
    <n v="4.33"/>
    <n v="3.58"/>
    <s v="Good"/>
    <x v="0"/>
    <x v="1"/>
  </r>
  <r>
    <x v="189"/>
    <x v="1"/>
    <n v="18"/>
    <x v="4"/>
    <x v="0"/>
    <n v="10"/>
    <x v="12"/>
    <x v="0"/>
    <x v="188"/>
    <x v="0"/>
    <s v="No"/>
    <x v="123"/>
    <n v="4.4000000000000004"/>
    <n v="4.28"/>
    <s v="Good"/>
    <x v="0"/>
    <x v="0"/>
  </r>
  <r>
    <x v="190"/>
    <x v="0"/>
    <n v="17"/>
    <x v="7"/>
    <x v="0"/>
    <n v="18"/>
    <x v="30"/>
    <x v="3"/>
    <x v="189"/>
    <x v="0"/>
    <s v="No"/>
    <x v="124"/>
    <n v="3.91"/>
    <n v="3.57"/>
    <s v="Good"/>
    <x v="1"/>
    <x v="0"/>
  </r>
  <r>
    <x v="191"/>
    <x v="0"/>
    <n v="17"/>
    <x v="6"/>
    <x v="0"/>
    <n v="26"/>
    <x v="21"/>
    <x v="1"/>
    <x v="190"/>
    <x v="0"/>
    <s v="No"/>
    <x v="125"/>
    <n v="4.0999999999999996"/>
    <n v="3.59"/>
    <s v="Good"/>
    <x v="1"/>
    <x v="1"/>
  </r>
  <r>
    <x v="192"/>
    <x v="0"/>
    <n v="15"/>
    <x v="7"/>
    <x v="1"/>
    <n v="23"/>
    <x v="2"/>
    <x v="0"/>
    <x v="191"/>
    <x v="1"/>
    <s v="Yes"/>
    <x v="0"/>
    <n v="4.67"/>
    <n v="3.8"/>
    <s v="Good"/>
    <x v="1"/>
    <x v="1"/>
  </r>
  <r>
    <x v="193"/>
    <x v="0"/>
    <n v="18"/>
    <x v="6"/>
    <x v="1"/>
    <n v="13"/>
    <x v="13"/>
    <x v="3"/>
    <x v="192"/>
    <x v="1"/>
    <s v="Yes"/>
    <x v="123"/>
    <n v="4.91"/>
    <n v="4.7"/>
    <s v="Excellent"/>
    <x v="0"/>
    <x v="0"/>
  </r>
  <r>
    <x v="194"/>
    <x v="0"/>
    <n v="16"/>
    <x v="6"/>
    <x v="0"/>
    <n v="16"/>
    <x v="35"/>
    <x v="3"/>
    <x v="193"/>
    <x v="0"/>
    <s v="Yes"/>
    <x v="104"/>
    <n v="4.79"/>
    <n v="4"/>
    <s v="Good"/>
    <x v="1"/>
    <x v="0"/>
  </r>
  <r>
    <x v="195"/>
    <x v="1"/>
    <n v="15"/>
    <x v="7"/>
    <x v="0"/>
    <n v="15"/>
    <x v="9"/>
    <x v="0"/>
    <x v="194"/>
    <x v="1"/>
    <s v="No"/>
    <x v="126"/>
    <n v="4.3499999999999996"/>
    <n v="4.3600000000000003"/>
    <s v="Good"/>
    <x v="1"/>
    <x v="1"/>
  </r>
  <r>
    <x v="196"/>
    <x v="1"/>
    <n v="16"/>
    <x v="4"/>
    <x v="0"/>
    <n v="18"/>
    <x v="0"/>
    <x v="0"/>
    <x v="195"/>
    <x v="1"/>
    <s v="Yes"/>
    <x v="58"/>
    <n v="4.12"/>
    <n v="3.78"/>
    <s v="Good"/>
    <x v="1"/>
    <x v="0"/>
  </r>
  <r>
    <x v="197"/>
    <x v="1"/>
    <n v="17"/>
    <x v="3"/>
    <x v="1"/>
    <n v="27"/>
    <x v="10"/>
    <x v="3"/>
    <x v="196"/>
    <x v="0"/>
    <s v="No"/>
    <x v="127"/>
    <n v="4"/>
    <n v="3.53"/>
    <s v="Good"/>
    <x v="1"/>
    <x v="1"/>
  </r>
  <r>
    <x v="198"/>
    <x v="0"/>
    <n v="17"/>
    <x v="2"/>
    <x v="1"/>
    <n v="20"/>
    <x v="3"/>
    <x v="0"/>
    <x v="197"/>
    <x v="0"/>
    <s v="Yes"/>
    <x v="119"/>
    <n v="3.69"/>
    <n v="4.91"/>
    <s v="Excellent"/>
    <x v="1"/>
    <x v="0"/>
  </r>
  <r>
    <x v="199"/>
    <x v="0"/>
    <n v="15"/>
    <x v="5"/>
    <x v="0"/>
    <n v="5"/>
    <x v="14"/>
    <x v="2"/>
    <x v="198"/>
    <x v="1"/>
    <s v="No"/>
    <x v="97"/>
    <n v="3.66"/>
    <n v="4.21"/>
    <s v="Good"/>
    <x v="0"/>
    <x v="0"/>
  </r>
  <r>
    <x v="200"/>
    <x v="0"/>
    <n v="15"/>
    <x v="5"/>
    <x v="1"/>
    <n v="17"/>
    <x v="8"/>
    <x v="0"/>
    <x v="199"/>
    <x v="1"/>
    <s v="Yes"/>
    <x v="96"/>
    <n v="4.53"/>
    <n v="4.87"/>
    <s v="Excellent"/>
    <x v="1"/>
    <x v="0"/>
  </r>
  <r>
    <x v="201"/>
    <x v="1"/>
    <n v="16"/>
    <x v="2"/>
    <x v="1"/>
    <n v="27"/>
    <x v="25"/>
    <x v="0"/>
    <x v="200"/>
    <x v="1"/>
    <s v="No"/>
    <x v="128"/>
    <n v="3.89"/>
    <n v="3.41"/>
    <s v="Average"/>
    <x v="1"/>
    <x v="1"/>
  </r>
  <r>
    <x v="202"/>
    <x v="0"/>
    <n v="18"/>
    <x v="0"/>
    <x v="0"/>
    <n v="25"/>
    <x v="22"/>
    <x v="0"/>
    <x v="201"/>
    <x v="0"/>
    <s v="Yes"/>
    <x v="28"/>
    <n v="3.88"/>
    <n v="3.29"/>
    <s v="Average"/>
    <x v="1"/>
    <x v="1"/>
  </r>
  <r>
    <x v="203"/>
    <x v="0"/>
    <n v="16"/>
    <x v="0"/>
    <x v="1"/>
    <n v="25"/>
    <x v="14"/>
    <x v="3"/>
    <x v="202"/>
    <x v="0"/>
    <s v="Yes"/>
    <x v="129"/>
    <n v="5"/>
    <n v="4.71"/>
    <s v="Excellent"/>
    <x v="1"/>
    <x v="1"/>
  </r>
  <r>
    <x v="204"/>
    <x v="1"/>
    <n v="15"/>
    <x v="6"/>
    <x v="1"/>
    <n v="17"/>
    <x v="35"/>
    <x v="2"/>
    <x v="203"/>
    <x v="0"/>
    <s v="Yes"/>
    <x v="8"/>
    <n v="3.78"/>
    <n v="4.3600000000000003"/>
    <s v="Good"/>
    <x v="1"/>
    <x v="0"/>
  </r>
  <r>
    <x v="205"/>
    <x v="0"/>
    <n v="16"/>
    <x v="6"/>
    <x v="0"/>
    <n v="6"/>
    <x v="30"/>
    <x v="1"/>
    <x v="204"/>
    <x v="0"/>
    <s v="No"/>
    <x v="130"/>
    <n v="3.72"/>
    <n v="3.37"/>
    <s v="Average"/>
    <x v="0"/>
    <x v="0"/>
  </r>
  <r>
    <x v="206"/>
    <x v="1"/>
    <n v="15"/>
    <x v="4"/>
    <x v="1"/>
    <n v="8"/>
    <x v="2"/>
    <x v="1"/>
    <x v="205"/>
    <x v="1"/>
    <s v="Yes"/>
    <x v="18"/>
    <n v="3.65"/>
    <n v="3.54"/>
    <s v="Good"/>
    <x v="0"/>
    <x v="1"/>
  </r>
  <r>
    <x v="207"/>
    <x v="1"/>
    <n v="16"/>
    <x v="1"/>
    <x v="1"/>
    <n v="10"/>
    <x v="34"/>
    <x v="2"/>
    <x v="206"/>
    <x v="0"/>
    <s v="Yes"/>
    <x v="91"/>
    <n v="4.37"/>
    <n v="4.5999999999999996"/>
    <s v="Excellent"/>
    <x v="0"/>
    <x v="0"/>
  </r>
  <r>
    <x v="208"/>
    <x v="1"/>
    <n v="15"/>
    <x v="7"/>
    <x v="0"/>
    <n v="27"/>
    <x v="26"/>
    <x v="2"/>
    <x v="207"/>
    <x v="0"/>
    <s v="Yes"/>
    <x v="131"/>
    <n v="4.4400000000000004"/>
    <n v="3.91"/>
    <s v="Good"/>
    <x v="1"/>
    <x v="0"/>
  </r>
  <r>
    <x v="209"/>
    <x v="0"/>
    <n v="15"/>
    <x v="6"/>
    <x v="1"/>
    <n v="9"/>
    <x v="1"/>
    <x v="2"/>
    <x v="208"/>
    <x v="1"/>
    <s v="Yes"/>
    <x v="132"/>
    <n v="4.05"/>
    <n v="4.34"/>
    <s v="Good"/>
    <x v="0"/>
    <x v="1"/>
  </r>
  <r>
    <x v="210"/>
    <x v="0"/>
    <n v="15"/>
    <x v="5"/>
    <x v="1"/>
    <n v="29"/>
    <x v="21"/>
    <x v="3"/>
    <x v="209"/>
    <x v="1"/>
    <s v="No"/>
    <x v="44"/>
    <n v="4.3"/>
    <n v="3.64"/>
    <s v="Good"/>
    <x v="1"/>
    <x v="0"/>
  </r>
  <r>
    <x v="211"/>
    <x v="0"/>
    <n v="18"/>
    <x v="4"/>
    <x v="0"/>
    <n v="7"/>
    <x v="20"/>
    <x v="1"/>
    <x v="210"/>
    <x v="1"/>
    <s v="Yes"/>
    <x v="51"/>
    <n v="4.68"/>
    <n v="3.76"/>
    <s v="Good"/>
    <x v="0"/>
    <x v="0"/>
  </r>
  <r>
    <x v="212"/>
    <x v="0"/>
    <n v="16"/>
    <x v="7"/>
    <x v="0"/>
    <n v="5"/>
    <x v="26"/>
    <x v="2"/>
    <x v="211"/>
    <x v="0"/>
    <s v="No"/>
    <x v="120"/>
    <n v="4.7300000000000004"/>
    <n v="4.9800000000000004"/>
    <s v="Excellent"/>
    <x v="0"/>
    <x v="0"/>
  </r>
  <r>
    <x v="213"/>
    <x v="0"/>
    <n v="16"/>
    <x v="4"/>
    <x v="0"/>
    <n v="8"/>
    <x v="28"/>
    <x v="3"/>
    <x v="212"/>
    <x v="1"/>
    <s v="No"/>
    <x v="39"/>
    <n v="4.9400000000000004"/>
    <n v="3.5"/>
    <s v="Good"/>
    <x v="0"/>
    <x v="1"/>
  </r>
  <r>
    <x v="214"/>
    <x v="0"/>
    <n v="16"/>
    <x v="7"/>
    <x v="1"/>
    <n v="29"/>
    <x v="17"/>
    <x v="1"/>
    <x v="213"/>
    <x v="1"/>
    <s v="No"/>
    <x v="133"/>
    <n v="4.74"/>
    <n v="4.01"/>
    <s v="Good"/>
    <x v="1"/>
    <x v="0"/>
  </r>
  <r>
    <x v="215"/>
    <x v="0"/>
    <n v="15"/>
    <x v="7"/>
    <x v="0"/>
    <n v="24"/>
    <x v="28"/>
    <x v="0"/>
    <x v="214"/>
    <x v="0"/>
    <s v="No"/>
    <x v="31"/>
    <n v="4.3499999999999996"/>
    <n v="4.6900000000000004"/>
    <s v="Excellent"/>
    <x v="1"/>
    <x v="0"/>
  </r>
  <r>
    <x v="216"/>
    <x v="1"/>
    <n v="16"/>
    <x v="2"/>
    <x v="1"/>
    <n v="6"/>
    <x v="4"/>
    <x v="3"/>
    <x v="215"/>
    <x v="0"/>
    <s v="Yes"/>
    <x v="134"/>
    <n v="3.77"/>
    <n v="3.48"/>
    <s v="Average"/>
    <x v="0"/>
    <x v="1"/>
  </r>
  <r>
    <x v="217"/>
    <x v="0"/>
    <n v="16"/>
    <x v="6"/>
    <x v="0"/>
    <n v="9"/>
    <x v="37"/>
    <x v="1"/>
    <x v="216"/>
    <x v="1"/>
    <s v="No"/>
    <x v="83"/>
    <n v="3.65"/>
    <n v="3.83"/>
    <s v="Good"/>
    <x v="0"/>
    <x v="1"/>
  </r>
  <r>
    <x v="218"/>
    <x v="1"/>
    <n v="15"/>
    <x v="3"/>
    <x v="1"/>
    <n v="7"/>
    <x v="18"/>
    <x v="3"/>
    <x v="217"/>
    <x v="0"/>
    <s v="No"/>
    <x v="12"/>
    <n v="3.58"/>
    <n v="4.2300000000000004"/>
    <s v="Good"/>
    <x v="0"/>
    <x v="0"/>
  </r>
  <r>
    <x v="219"/>
    <x v="0"/>
    <n v="17"/>
    <x v="4"/>
    <x v="0"/>
    <n v="13"/>
    <x v="4"/>
    <x v="1"/>
    <x v="218"/>
    <x v="1"/>
    <s v="No"/>
    <x v="7"/>
    <n v="4.5"/>
    <n v="3.96"/>
    <s v="Good"/>
    <x v="0"/>
    <x v="0"/>
  </r>
  <r>
    <x v="220"/>
    <x v="0"/>
    <n v="15"/>
    <x v="3"/>
    <x v="0"/>
    <n v="24"/>
    <x v="32"/>
    <x v="1"/>
    <x v="219"/>
    <x v="1"/>
    <s v="No"/>
    <x v="67"/>
    <n v="4.71"/>
    <n v="3.92"/>
    <s v="Good"/>
    <x v="1"/>
    <x v="0"/>
  </r>
  <r>
    <x v="221"/>
    <x v="0"/>
    <n v="16"/>
    <x v="4"/>
    <x v="0"/>
    <n v="10"/>
    <x v="11"/>
    <x v="0"/>
    <x v="220"/>
    <x v="0"/>
    <s v="Yes"/>
    <x v="135"/>
    <n v="4.26"/>
    <n v="3.73"/>
    <s v="Good"/>
    <x v="0"/>
    <x v="0"/>
  </r>
  <r>
    <x v="222"/>
    <x v="1"/>
    <n v="15"/>
    <x v="2"/>
    <x v="0"/>
    <n v="22"/>
    <x v="1"/>
    <x v="3"/>
    <x v="221"/>
    <x v="1"/>
    <s v="Yes"/>
    <x v="2"/>
    <n v="3.58"/>
    <n v="4.17"/>
    <s v="Good"/>
    <x v="1"/>
    <x v="1"/>
  </r>
  <r>
    <x v="223"/>
    <x v="1"/>
    <n v="17"/>
    <x v="5"/>
    <x v="1"/>
    <n v="10"/>
    <x v="7"/>
    <x v="2"/>
    <x v="222"/>
    <x v="0"/>
    <s v="No"/>
    <x v="37"/>
    <n v="4.3"/>
    <n v="4.25"/>
    <s v="Good"/>
    <x v="0"/>
    <x v="1"/>
  </r>
  <r>
    <x v="224"/>
    <x v="1"/>
    <n v="15"/>
    <x v="3"/>
    <x v="0"/>
    <n v="23"/>
    <x v="27"/>
    <x v="0"/>
    <x v="223"/>
    <x v="0"/>
    <s v="No"/>
    <x v="136"/>
    <n v="4.9000000000000004"/>
    <n v="4.3099999999999996"/>
    <s v="Good"/>
    <x v="1"/>
    <x v="1"/>
  </r>
  <r>
    <x v="225"/>
    <x v="1"/>
    <n v="16"/>
    <x v="5"/>
    <x v="0"/>
    <n v="16"/>
    <x v="23"/>
    <x v="0"/>
    <x v="224"/>
    <x v="0"/>
    <s v="No"/>
    <x v="137"/>
    <n v="4.4000000000000004"/>
    <n v="3.14"/>
    <s v="Average"/>
    <x v="1"/>
    <x v="1"/>
  </r>
  <r>
    <x v="226"/>
    <x v="0"/>
    <n v="17"/>
    <x v="0"/>
    <x v="1"/>
    <n v="29"/>
    <x v="34"/>
    <x v="1"/>
    <x v="225"/>
    <x v="1"/>
    <s v="Yes"/>
    <x v="6"/>
    <n v="4.71"/>
    <n v="4.26"/>
    <s v="Good"/>
    <x v="1"/>
    <x v="0"/>
  </r>
  <r>
    <x v="227"/>
    <x v="1"/>
    <n v="18"/>
    <x v="6"/>
    <x v="0"/>
    <n v="15"/>
    <x v="23"/>
    <x v="2"/>
    <x v="226"/>
    <x v="0"/>
    <s v="Yes"/>
    <x v="75"/>
    <n v="4.7"/>
    <n v="4.91"/>
    <s v="Excellent"/>
    <x v="1"/>
    <x v="0"/>
  </r>
  <r>
    <x v="228"/>
    <x v="0"/>
    <n v="16"/>
    <x v="6"/>
    <x v="1"/>
    <n v="6"/>
    <x v="5"/>
    <x v="3"/>
    <x v="227"/>
    <x v="0"/>
    <s v="Yes"/>
    <x v="138"/>
    <n v="4.9000000000000004"/>
    <n v="4.08"/>
    <s v="Good"/>
    <x v="0"/>
    <x v="0"/>
  </r>
  <r>
    <x v="229"/>
    <x v="0"/>
    <n v="17"/>
    <x v="1"/>
    <x v="0"/>
    <n v="19"/>
    <x v="10"/>
    <x v="2"/>
    <x v="228"/>
    <x v="1"/>
    <s v="Yes"/>
    <x v="139"/>
    <n v="4.66"/>
    <n v="4.43"/>
    <s v="Good"/>
    <x v="1"/>
    <x v="0"/>
  </r>
  <r>
    <x v="230"/>
    <x v="1"/>
    <n v="17"/>
    <x v="2"/>
    <x v="0"/>
    <n v="16"/>
    <x v="33"/>
    <x v="2"/>
    <x v="229"/>
    <x v="1"/>
    <s v="Yes"/>
    <x v="15"/>
    <n v="4.62"/>
    <n v="4.1100000000000003"/>
    <s v="Good"/>
    <x v="1"/>
    <x v="1"/>
  </r>
  <r>
    <x v="231"/>
    <x v="1"/>
    <n v="18"/>
    <x v="5"/>
    <x v="0"/>
    <n v="16"/>
    <x v="18"/>
    <x v="2"/>
    <x v="230"/>
    <x v="1"/>
    <s v="No"/>
    <x v="140"/>
    <n v="3.85"/>
    <n v="4.71"/>
    <s v="Excellent"/>
    <x v="1"/>
    <x v="0"/>
  </r>
  <r>
    <x v="232"/>
    <x v="1"/>
    <n v="15"/>
    <x v="7"/>
    <x v="1"/>
    <n v="13"/>
    <x v="10"/>
    <x v="2"/>
    <x v="231"/>
    <x v="1"/>
    <s v="Yes"/>
    <x v="36"/>
    <n v="3.59"/>
    <n v="4.8600000000000003"/>
    <s v="Excellent"/>
    <x v="0"/>
    <x v="0"/>
  </r>
  <r>
    <x v="233"/>
    <x v="1"/>
    <n v="15"/>
    <x v="4"/>
    <x v="0"/>
    <n v="25"/>
    <x v="12"/>
    <x v="2"/>
    <x v="232"/>
    <x v="0"/>
    <s v="Yes"/>
    <x v="19"/>
    <n v="4.28"/>
    <n v="3.37"/>
    <s v="Average"/>
    <x v="1"/>
    <x v="1"/>
  </r>
  <r>
    <x v="234"/>
    <x v="1"/>
    <n v="16"/>
    <x v="6"/>
    <x v="0"/>
    <n v="28"/>
    <x v="12"/>
    <x v="1"/>
    <x v="233"/>
    <x v="0"/>
    <s v="No"/>
    <x v="106"/>
    <n v="3.69"/>
    <n v="3.87"/>
    <s v="Good"/>
    <x v="1"/>
    <x v="0"/>
  </r>
  <r>
    <x v="235"/>
    <x v="1"/>
    <n v="18"/>
    <x v="3"/>
    <x v="0"/>
    <n v="6"/>
    <x v="6"/>
    <x v="1"/>
    <x v="234"/>
    <x v="0"/>
    <s v="Yes"/>
    <x v="125"/>
    <n v="4.9400000000000004"/>
    <n v="3.78"/>
    <s v="Good"/>
    <x v="0"/>
    <x v="1"/>
  </r>
  <r>
    <x v="236"/>
    <x v="1"/>
    <n v="15"/>
    <x v="4"/>
    <x v="1"/>
    <n v="26"/>
    <x v="27"/>
    <x v="0"/>
    <x v="235"/>
    <x v="1"/>
    <s v="Yes"/>
    <x v="66"/>
    <n v="3.93"/>
    <n v="3.81"/>
    <s v="Good"/>
    <x v="1"/>
    <x v="0"/>
  </r>
  <r>
    <x v="237"/>
    <x v="1"/>
    <n v="18"/>
    <x v="4"/>
    <x v="1"/>
    <n v="7"/>
    <x v="31"/>
    <x v="1"/>
    <x v="236"/>
    <x v="1"/>
    <s v="Yes"/>
    <x v="69"/>
    <n v="4.78"/>
    <n v="3.25"/>
    <s v="Average"/>
    <x v="0"/>
    <x v="0"/>
  </r>
  <r>
    <x v="238"/>
    <x v="0"/>
    <n v="15"/>
    <x v="1"/>
    <x v="0"/>
    <n v="16"/>
    <x v="20"/>
    <x v="0"/>
    <x v="237"/>
    <x v="0"/>
    <s v="No"/>
    <x v="141"/>
    <n v="4.08"/>
    <n v="4.63"/>
    <s v="Excellent"/>
    <x v="1"/>
    <x v="0"/>
  </r>
  <r>
    <x v="239"/>
    <x v="1"/>
    <n v="17"/>
    <x v="5"/>
    <x v="1"/>
    <n v="20"/>
    <x v="28"/>
    <x v="0"/>
    <x v="238"/>
    <x v="1"/>
    <s v="Yes"/>
    <x v="142"/>
    <n v="3.98"/>
    <n v="3.07"/>
    <s v="Average"/>
    <x v="1"/>
    <x v="1"/>
  </r>
  <r>
    <x v="240"/>
    <x v="1"/>
    <n v="15"/>
    <x v="6"/>
    <x v="0"/>
    <n v="25"/>
    <x v="36"/>
    <x v="3"/>
    <x v="239"/>
    <x v="1"/>
    <s v="No"/>
    <x v="8"/>
    <n v="4.9000000000000004"/>
    <n v="4.0599999999999996"/>
    <s v="Good"/>
    <x v="1"/>
    <x v="0"/>
  </r>
  <r>
    <x v="241"/>
    <x v="0"/>
    <n v="18"/>
    <x v="4"/>
    <x v="0"/>
    <n v="28"/>
    <x v="23"/>
    <x v="2"/>
    <x v="240"/>
    <x v="0"/>
    <s v="No"/>
    <x v="143"/>
    <n v="4.04"/>
    <n v="4.32"/>
    <s v="Good"/>
    <x v="1"/>
    <x v="0"/>
  </r>
  <r>
    <x v="242"/>
    <x v="1"/>
    <n v="17"/>
    <x v="6"/>
    <x v="0"/>
    <n v="5"/>
    <x v="10"/>
    <x v="1"/>
    <x v="241"/>
    <x v="0"/>
    <s v="Yes"/>
    <x v="144"/>
    <n v="4.09"/>
    <n v="3.41"/>
    <s v="Average"/>
    <x v="0"/>
    <x v="1"/>
  </r>
  <r>
    <x v="243"/>
    <x v="0"/>
    <n v="17"/>
    <x v="7"/>
    <x v="0"/>
    <n v="25"/>
    <x v="36"/>
    <x v="3"/>
    <x v="242"/>
    <x v="1"/>
    <s v="Yes"/>
    <x v="3"/>
    <n v="3.66"/>
    <n v="4.8099999999999996"/>
    <s v="Excellent"/>
    <x v="1"/>
    <x v="0"/>
  </r>
  <r>
    <x v="244"/>
    <x v="0"/>
    <n v="17"/>
    <x v="1"/>
    <x v="0"/>
    <n v="7"/>
    <x v="34"/>
    <x v="1"/>
    <x v="243"/>
    <x v="1"/>
    <s v="Yes"/>
    <x v="13"/>
    <n v="4.51"/>
    <n v="4.68"/>
    <s v="Excellent"/>
    <x v="0"/>
    <x v="0"/>
  </r>
  <r>
    <x v="245"/>
    <x v="1"/>
    <n v="18"/>
    <x v="7"/>
    <x v="0"/>
    <n v="24"/>
    <x v="29"/>
    <x v="0"/>
    <x v="244"/>
    <x v="1"/>
    <s v="Yes"/>
    <x v="145"/>
    <n v="3.93"/>
    <n v="3.94"/>
    <s v="Good"/>
    <x v="1"/>
    <x v="0"/>
  </r>
  <r>
    <x v="246"/>
    <x v="0"/>
    <n v="16"/>
    <x v="6"/>
    <x v="0"/>
    <n v="6"/>
    <x v="17"/>
    <x v="1"/>
    <x v="245"/>
    <x v="0"/>
    <s v="No"/>
    <x v="79"/>
    <n v="4.38"/>
    <n v="3.82"/>
    <s v="Good"/>
    <x v="0"/>
    <x v="1"/>
  </r>
  <r>
    <x v="247"/>
    <x v="0"/>
    <n v="16"/>
    <x v="0"/>
    <x v="1"/>
    <n v="13"/>
    <x v="33"/>
    <x v="2"/>
    <x v="246"/>
    <x v="0"/>
    <s v="Yes"/>
    <x v="146"/>
    <n v="4.3899999999999997"/>
    <n v="3.47"/>
    <s v="Average"/>
    <x v="0"/>
    <x v="0"/>
  </r>
  <r>
    <x v="248"/>
    <x v="0"/>
    <n v="16"/>
    <x v="3"/>
    <x v="1"/>
    <n v="23"/>
    <x v="18"/>
    <x v="0"/>
    <x v="247"/>
    <x v="0"/>
    <s v="No"/>
    <x v="114"/>
    <n v="4.58"/>
    <n v="4.46"/>
    <s v="Good"/>
    <x v="1"/>
    <x v="0"/>
  </r>
  <r>
    <x v="249"/>
    <x v="0"/>
    <n v="18"/>
    <x v="6"/>
    <x v="1"/>
    <n v="19"/>
    <x v="5"/>
    <x v="0"/>
    <x v="248"/>
    <x v="0"/>
    <s v="No"/>
    <x v="147"/>
    <n v="4.62"/>
    <n v="3.26"/>
    <s v="Average"/>
    <x v="1"/>
    <x v="0"/>
  </r>
  <r>
    <x v="250"/>
    <x v="1"/>
    <n v="17"/>
    <x v="5"/>
    <x v="1"/>
    <n v="22"/>
    <x v="36"/>
    <x v="3"/>
    <x v="249"/>
    <x v="0"/>
    <s v="No"/>
    <x v="148"/>
    <n v="4.2699999999999996"/>
    <n v="4.3600000000000003"/>
    <s v="Good"/>
    <x v="1"/>
    <x v="0"/>
  </r>
  <r>
    <x v="251"/>
    <x v="0"/>
    <n v="16"/>
    <x v="4"/>
    <x v="1"/>
    <n v="15"/>
    <x v="26"/>
    <x v="2"/>
    <x v="250"/>
    <x v="1"/>
    <s v="No"/>
    <x v="108"/>
    <n v="4"/>
    <n v="4.68"/>
    <s v="Excellent"/>
    <x v="1"/>
    <x v="0"/>
  </r>
  <r>
    <x v="252"/>
    <x v="1"/>
    <n v="18"/>
    <x v="4"/>
    <x v="1"/>
    <n v="29"/>
    <x v="32"/>
    <x v="0"/>
    <x v="251"/>
    <x v="1"/>
    <s v="No"/>
    <x v="95"/>
    <n v="4.76"/>
    <n v="3.46"/>
    <s v="Average"/>
    <x v="1"/>
    <x v="1"/>
  </r>
  <r>
    <x v="253"/>
    <x v="0"/>
    <n v="16"/>
    <x v="7"/>
    <x v="1"/>
    <n v="27"/>
    <x v="37"/>
    <x v="2"/>
    <x v="252"/>
    <x v="1"/>
    <s v="Yes"/>
    <x v="8"/>
    <n v="3.96"/>
    <n v="4.7300000000000004"/>
    <s v="Excellent"/>
    <x v="1"/>
    <x v="0"/>
  </r>
  <r>
    <x v="254"/>
    <x v="0"/>
    <n v="15"/>
    <x v="3"/>
    <x v="0"/>
    <n v="20"/>
    <x v="3"/>
    <x v="1"/>
    <x v="253"/>
    <x v="0"/>
    <s v="No"/>
    <x v="123"/>
    <n v="4.26"/>
    <n v="3.07"/>
    <s v="Average"/>
    <x v="1"/>
    <x v="1"/>
  </r>
  <r>
    <x v="255"/>
    <x v="0"/>
    <n v="16"/>
    <x v="1"/>
    <x v="0"/>
    <n v="26"/>
    <x v="34"/>
    <x v="2"/>
    <x v="254"/>
    <x v="0"/>
    <s v="No"/>
    <x v="57"/>
    <n v="4.0999999999999996"/>
    <n v="4.83"/>
    <s v="Excellent"/>
    <x v="1"/>
    <x v="0"/>
  </r>
  <r>
    <x v="256"/>
    <x v="0"/>
    <n v="16"/>
    <x v="0"/>
    <x v="0"/>
    <n v="21"/>
    <x v="16"/>
    <x v="0"/>
    <x v="255"/>
    <x v="0"/>
    <s v="Yes"/>
    <x v="85"/>
    <n v="4.78"/>
    <n v="3.24"/>
    <s v="Average"/>
    <x v="1"/>
    <x v="1"/>
  </r>
  <r>
    <x v="257"/>
    <x v="1"/>
    <n v="17"/>
    <x v="2"/>
    <x v="0"/>
    <n v="9"/>
    <x v="29"/>
    <x v="3"/>
    <x v="256"/>
    <x v="1"/>
    <s v="Yes"/>
    <x v="149"/>
    <n v="4.1500000000000004"/>
    <n v="4.29"/>
    <s v="Good"/>
    <x v="0"/>
    <x v="1"/>
  </r>
  <r>
    <x v="258"/>
    <x v="1"/>
    <n v="18"/>
    <x v="3"/>
    <x v="1"/>
    <n v="16"/>
    <x v="7"/>
    <x v="0"/>
    <x v="257"/>
    <x v="0"/>
    <s v="No"/>
    <x v="38"/>
    <n v="4.08"/>
    <n v="3.5"/>
    <s v="Good"/>
    <x v="1"/>
    <x v="0"/>
  </r>
  <r>
    <x v="259"/>
    <x v="0"/>
    <n v="17"/>
    <x v="4"/>
    <x v="1"/>
    <n v="15"/>
    <x v="7"/>
    <x v="2"/>
    <x v="258"/>
    <x v="0"/>
    <s v="No"/>
    <x v="13"/>
    <n v="4.53"/>
    <n v="4.67"/>
    <s v="Excellent"/>
    <x v="1"/>
    <x v="0"/>
  </r>
  <r>
    <x v="260"/>
    <x v="0"/>
    <n v="17"/>
    <x v="5"/>
    <x v="0"/>
    <n v="19"/>
    <x v="4"/>
    <x v="2"/>
    <x v="259"/>
    <x v="1"/>
    <s v="Yes"/>
    <x v="9"/>
    <n v="4.4000000000000004"/>
    <n v="4.0199999999999996"/>
    <s v="Good"/>
    <x v="1"/>
    <x v="1"/>
  </r>
  <r>
    <x v="261"/>
    <x v="1"/>
    <n v="17"/>
    <x v="3"/>
    <x v="0"/>
    <n v="7"/>
    <x v="13"/>
    <x v="0"/>
    <x v="260"/>
    <x v="0"/>
    <s v="No"/>
    <x v="8"/>
    <n v="3.66"/>
    <n v="3.27"/>
    <s v="Average"/>
    <x v="0"/>
    <x v="1"/>
  </r>
  <r>
    <x v="262"/>
    <x v="0"/>
    <n v="17"/>
    <x v="7"/>
    <x v="1"/>
    <n v="5"/>
    <x v="13"/>
    <x v="2"/>
    <x v="261"/>
    <x v="1"/>
    <s v="Yes"/>
    <x v="67"/>
    <n v="4.26"/>
    <n v="4.1399999999999997"/>
    <s v="Good"/>
    <x v="0"/>
    <x v="0"/>
  </r>
  <r>
    <x v="263"/>
    <x v="0"/>
    <n v="17"/>
    <x v="7"/>
    <x v="0"/>
    <n v="24"/>
    <x v="11"/>
    <x v="1"/>
    <x v="262"/>
    <x v="0"/>
    <s v="Yes"/>
    <x v="54"/>
    <n v="4.5999999999999996"/>
    <n v="3.82"/>
    <s v="Good"/>
    <x v="1"/>
    <x v="1"/>
  </r>
  <r>
    <x v="264"/>
    <x v="0"/>
    <n v="16"/>
    <x v="2"/>
    <x v="0"/>
    <n v="20"/>
    <x v="36"/>
    <x v="0"/>
    <x v="263"/>
    <x v="0"/>
    <s v="No"/>
    <x v="87"/>
    <n v="4.99"/>
    <n v="4.32"/>
    <s v="Good"/>
    <x v="1"/>
    <x v="1"/>
  </r>
  <r>
    <x v="265"/>
    <x v="1"/>
    <n v="17"/>
    <x v="5"/>
    <x v="0"/>
    <n v="6"/>
    <x v="35"/>
    <x v="3"/>
    <x v="264"/>
    <x v="1"/>
    <s v="Yes"/>
    <x v="28"/>
    <n v="4.4400000000000004"/>
    <n v="4.76"/>
    <s v="Excellent"/>
    <x v="0"/>
    <x v="0"/>
  </r>
  <r>
    <x v="266"/>
    <x v="1"/>
    <n v="17"/>
    <x v="1"/>
    <x v="0"/>
    <n v="6"/>
    <x v="15"/>
    <x v="0"/>
    <x v="265"/>
    <x v="1"/>
    <s v="No"/>
    <x v="150"/>
    <n v="4.0599999999999996"/>
    <n v="3.82"/>
    <s v="Good"/>
    <x v="0"/>
    <x v="1"/>
  </r>
  <r>
    <x v="267"/>
    <x v="1"/>
    <n v="18"/>
    <x v="3"/>
    <x v="1"/>
    <n v="7"/>
    <x v="1"/>
    <x v="1"/>
    <x v="266"/>
    <x v="1"/>
    <s v="No"/>
    <x v="33"/>
    <n v="3.84"/>
    <n v="3.58"/>
    <s v="Good"/>
    <x v="0"/>
    <x v="1"/>
  </r>
  <r>
    <x v="268"/>
    <x v="0"/>
    <n v="15"/>
    <x v="5"/>
    <x v="0"/>
    <n v="12"/>
    <x v="14"/>
    <x v="1"/>
    <x v="267"/>
    <x v="1"/>
    <s v="No"/>
    <x v="151"/>
    <n v="4.8099999999999996"/>
    <n v="3.03"/>
    <s v="Average"/>
    <x v="0"/>
    <x v="1"/>
  </r>
  <r>
    <x v="269"/>
    <x v="0"/>
    <n v="16"/>
    <x v="1"/>
    <x v="0"/>
    <n v="28"/>
    <x v="34"/>
    <x v="1"/>
    <x v="268"/>
    <x v="1"/>
    <s v="Yes"/>
    <x v="4"/>
    <n v="4.72"/>
    <n v="4.1500000000000004"/>
    <s v="Good"/>
    <x v="1"/>
    <x v="1"/>
  </r>
  <r>
    <x v="270"/>
    <x v="1"/>
    <n v="16"/>
    <x v="5"/>
    <x v="1"/>
    <n v="19"/>
    <x v="7"/>
    <x v="1"/>
    <x v="269"/>
    <x v="1"/>
    <s v="No"/>
    <x v="152"/>
    <n v="3.85"/>
    <n v="3.8"/>
    <s v="Good"/>
    <x v="1"/>
    <x v="1"/>
  </r>
  <r>
    <x v="271"/>
    <x v="1"/>
    <n v="16"/>
    <x v="5"/>
    <x v="1"/>
    <n v="11"/>
    <x v="36"/>
    <x v="1"/>
    <x v="270"/>
    <x v="0"/>
    <s v="Yes"/>
    <x v="135"/>
    <n v="3.8"/>
    <n v="3.75"/>
    <s v="Good"/>
    <x v="0"/>
    <x v="0"/>
  </r>
  <r>
    <x v="272"/>
    <x v="1"/>
    <n v="17"/>
    <x v="6"/>
    <x v="0"/>
    <n v="10"/>
    <x v="14"/>
    <x v="3"/>
    <x v="271"/>
    <x v="0"/>
    <s v="No"/>
    <x v="85"/>
    <n v="4.57"/>
    <n v="3.37"/>
    <s v="Average"/>
    <x v="0"/>
    <x v="1"/>
  </r>
  <r>
    <x v="273"/>
    <x v="1"/>
    <n v="17"/>
    <x v="7"/>
    <x v="1"/>
    <n v="13"/>
    <x v="2"/>
    <x v="2"/>
    <x v="272"/>
    <x v="1"/>
    <s v="No"/>
    <x v="117"/>
    <n v="3.97"/>
    <n v="3.86"/>
    <s v="Good"/>
    <x v="0"/>
    <x v="0"/>
  </r>
  <r>
    <x v="274"/>
    <x v="0"/>
    <n v="17"/>
    <x v="3"/>
    <x v="0"/>
    <n v="24"/>
    <x v="32"/>
    <x v="1"/>
    <x v="273"/>
    <x v="0"/>
    <s v="Yes"/>
    <x v="1"/>
    <n v="3.96"/>
    <n v="4.97"/>
    <s v="Excellent"/>
    <x v="1"/>
    <x v="0"/>
  </r>
  <r>
    <x v="275"/>
    <x v="1"/>
    <n v="18"/>
    <x v="5"/>
    <x v="0"/>
    <n v="5"/>
    <x v="32"/>
    <x v="1"/>
    <x v="274"/>
    <x v="1"/>
    <s v="No"/>
    <x v="153"/>
    <n v="3.73"/>
    <n v="3.6"/>
    <s v="Good"/>
    <x v="0"/>
    <x v="1"/>
  </r>
  <r>
    <x v="276"/>
    <x v="0"/>
    <n v="15"/>
    <x v="3"/>
    <x v="1"/>
    <n v="12"/>
    <x v="35"/>
    <x v="0"/>
    <x v="275"/>
    <x v="0"/>
    <s v="No"/>
    <x v="154"/>
    <n v="3.9"/>
    <n v="4.2"/>
    <s v="Good"/>
    <x v="0"/>
    <x v="0"/>
  </r>
  <r>
    <x v="277"/>
    <x v="1"/>
    <n v="17"/>
    <x v="2"/>
    <x v="0"/>
    <n v="27"/>
    <x v="7"/>
    <x v="3"/>
    <x v="276"/>
    <x v="1"/>
    <s v="Yes"/>
    <x v="23"/>
    <n v="4.1399999999999997"/>
    <n v="4.55"/>
    <s v="Excellent"/>
    <x v="1"/>
    <x v="0"/>
  </r>
  <r>
    <x v="278"/>
    <x v="0"/>
    <n v="15"/>
    <x v="5"/>
    <x v="0"/>
    <n v="27"/>
    <x v="25"/>
    <x v="3"/>
    <x v="277"/>
    <x v="0"/>
    <s v="Yes"/>
    <x v="50"/>
    <n v="4.5999999999999996"/>
    <n v="4.5"/>
    <s v="Excellent"/>
    <x v="1"/>
    <x v="0"/>
  </r>
  <r>
    <x v="279"/>
    <x v="1"/>
    <n v="18"/>
    <x v="4"/>
    <x v="0"/>
    <n v="7"/>
    <x v="33"/>
    <x v="2"/>
    <x v="278"/>
    <x v="0"/>
    <s v="Yes"/>
    <x v="63"/>
    <n v="4"/>
    <n v="3.66"/>
    <s v="Good"/>
    <x v="0"/>
    <x v="0"/>
  </r>
  <r>
    <x v="280"/>
    <x v="1"/>
    <n v="16"/>
    <x v="7"/>
    <x v="0"/>
    <n v="8"/>
    <x v="0"/>
    <x v="3"/>
    <x v="279"/>
    <x v="0"/>
    <s v="No"/>
    <x v="125"/>
    <n v="3.99"/>
    <n v="4.22"/>
    <s v="Good"/>
    <x v="0"/>
    <x v="0"/>
  </r>
  <r>
    <x v="281"/>
    <x v="1"/>
    <n v="17"/>
    <x v="4"/>
    <x v="1"/>
    <n v="29"/>
    <x v="39"/>
    <x v="0"/>
    <x v="280"/>
    <x v="0"/>
    <s v="Yes"/>
    <x v="60"/>
    <n v="3.93"/>
    <n v="4.74"/>
    <s v="Excellent"/>
    <x v="1"/>
    <x v="0"/>
  </r>
  <r>
    <x v="282"/>
    <x v="1"/>
    <n v="15"/>
    <x v="3"/>
    <x v="1"/>
    <n v="19"/>
    <x v="32"/>
    <x v="0"/>
    <x v="281"/>
    <x v="0"/>
    <s v="Yes"/>
    <x v="155"/>
    <n v="4.22"/>
    <n v="3.03"/>
    <s v="Average"/>
    <x v="1"/>
    <x v="1"/>
  </r>
  <r>
    <x v="283"/>
    <x v="0"/>
    <n v="15"/>
    <x v="3"/>
    <x v="0"/>
    <n v="10"/>
    <x v="1"/>
    <x v="2"/>
    <x v="282"/>
    <x v="1"/>
    <s v="No"/>
    <x v="147"/>
    <n v="3.77"/>
    <n v="3.87"/>
    <s v="Good"/>
    <x v="0"/>
    <x v="0"/>
  </r>
  <r>
    <x v="284"/>
    <x v="1"/>
    <n v="17"/>
    <x v="7"/>
    <x v="1"/>
    <n v="19"/>
    <x v="23"/>
    <x v="0"/>
    <x v="283"/>
    <x v="1"/>
    <s v="Yes"/>
    <x v="46"/>
    <n v="4.2300000000000004"/>
    <n v="3.45"/>
    <s v="Average"/>
    <x v="1"/>
    <x v="1"/>
  </r>
  <r>
    <x v="285"/>
    <x v="0"/>
    <n v="16"/>
    <x v="3"/>
    <x v="0"/>
    <n v="25"/>
    <x v="26"/>
    <x v="1"/>
    <x v="284"/>
    <x v="1"/>
    <s v="No"/>
    <x v="7"/>
    <n v="4.5599999999999996"/>
    <n v="3.78"/>
    <s v="Good"/>
    <x v="1"/>
    <x v="0"/>
  </r>
  <r>
    <x v="286"/>
    <x v="0"/>
    <n v="16"/>
    <x v="4"/>
    <x v="0"/>
    <n v="7"/>
    <x v="34"/>
    <x v="1"/>
    <x v="285"/>
    <x v="0"/>
    <s v="No"/>
    <x v="5"/>
    <n v="3.54"/>
    <n v="3.83"/>
    <s v="Good"/>
    <x v="0"/>
    <x v="1"/>
  </r>
  <r>
    <x v="287"/>
    <x v="0"/>
    <n v="16"/>
    <x v="5"/>
    <x v="0"/>
    <n v="29"/>
    <x v="2"/>
    <x v="0"/>
    <x v="286"/>
    <x v="1"/>
    <s v="Yes"/>
    <x v="7"/>
    <n v="3.51"/>
    <n v="4.49"/>
    <s v="Good"/>
    <x v="1"/>
    <x v="0"/>
  </r>
  <r>
    <x v="288"/>
    <x v="0"/>
    <n v="18"/>
    <x v="5"/>
    <x v="0"/>
    <n v="25"/>
    <x v="39"/>
    <x v="2"/>
    <x v="287"/>
    <x v="0"/>
    <s v="No"/>
    <x v="79"/>
    <n v="3.61"/>
    <n v="3.19"/>
    <s v="Average"/>
    <x v="1"/>
    <x v="1"/>
  </r>
  <r>
    <x v="289"/>
    <x v="1"/>
    <n v="15"/>
    <x v="6"/>
    <x v="0"/>
    <n v="25"/>
    <x v="0"/>
    <x v="3"/>
    <x v="288"/>
    <x v="0"/>
    <s v="Yes"/>
    <x v="5"/>
    <n v="4.3"/>
    <n v="4.03"/>
    <s v="Good"/>
    <x v="1"/>
    <x v="1"/>
  </r>
  <r>
    <x v="290"/>
    <x v="0"/>
    <n v="15"/>
    <x v="2"/>
    <x v="1"/>
    <n v="18"/>
    <x v="6"/>
    <x v="2"/>
    <x v="289"/>
    <x v="0"/>
    <s v="Yes"/>
    <x v="156"/>
    <n v="4.78"/>
    <n v="4.13"/>
    <s v="Good"/>
    <x v="1"/>
    <x v="0"/>
  </r>
  <r>
    <x v="291"/>
    <x v="0"/>
    <n v="15"/>
    <x v="3"/>
    <x v="0"/>
    <n v="24"/>
    <x v="13"/>
    <x v="3"/>
    <x v="290"/>
    <x v="1"/>
    <s v="Yes"/>
    <x v="50"/>
    <n v="3.51"/>
    <n v="3.99"/>
    <s v="Good"/>
    <x v="1"/>
    <x v="0"/>
  </r>
  <r>
    <x v="292"/>
    <x v="0"/>
    <n v="18"/>
    <x v="4"/>
    <x v="1"/>
    <n v="18"/>
    <x v="9"/>
    <x v="0"/>
    <x v="291"/>
    <x v="0"/>
    <s v="Yes"/>
    <x v="106"/>
    <n v="4.9000000000000004"/>
    <n v="4.46"/>
    <s v="Good"/>
    <x v="1"/>
    <x v="0"/>
  </r>
  <r>
    <x v="293"/>
    <x v="1"/>
    <n v="15"/>
    <x v="3"/>
    <x v="1"/>
    <n v="8"/>
    <x v="35"/>
    <x v="0"/>
    <x v="292"/>
    <x v="1"/>
    <s v="No"/>
    <x v="157"/>
    <n v="3.66"/>
    <n v="3.77"/>
    <s v="Good"/>
    <x v="0"/>
    <x v="0"/>
  </r>
  <r>
    <x v="294"/>
    <x v="1"/>
    <n v="18"/>
    <x v="3"/>
    <x v="0"/>
    <n v="16"/>
    <x v="8"/>
    <x v="1"/>
    <x v="293"/>
    <x v="1"/>
    <s v="No"/>
    <x v="17"/>
    <n v="4.76"/>
    <n v="4.8899999999999997"/>
    <s v="Excellent"/>
    <x v="1"/>
    <x v="0"/>
  </r>
  <r>
    <x v="295"/>
    <x v="1"/>
    <n v="16"/>
    <x v="1"/>
    <x v="0"/>
    <n v="21"/>
    <x v="16"/>
    <x v="3"/>
    <x v="294"/>
    <x v="0"/>
    <s v="Yes"/>
    <x v="83"/>
    <n v="4.22"/>
    <n v="3.96"/>
    <s v="Good"/>
    <x v="1"/>
    <x v="1"/>
  </r>
  <r>
    <x v="296"/>
    <x v="1"/>
    <n v="17"/>
    <x v="6"/>
    <x v="0"/>
    <n v="11"/>
    <x v="16"/>
    <x v="2"/>
    <x v="295"/>
    <x v="0"/>
    <s v="Yes"/>
    <x v="82"/>
    <n v="4.49"/>
    <n v="4.1399999999999997"/>
    <s v="Good"/>
    <x v="0"/>
    <x v="0"/>
  </r>
  <r>
    <x v="297"/>
    <x v="0"/>
    <n v="15"/>
    <x v="4"/>
    <x v="0"/>
    <n v="13"/>
    <x v="35"/>
    <x v="0"/>
    <x v="296"/>
    <x v="1"/>
    <s v="No"/>
    <x v="158"/>
    <n v="4.2699999999999996"/>
    <n v="4.6500000000000004"/>
    <s v="Excellent"/>
    <x v="0"/>
    <x v="0"/>
  </r>
  <r>
    <x v="298"/>
    <x v="0"/>
    <n v="15"/>
    <x v="4"/>
    <x v="0"/>
    <n v="7"/>
    <x v="31"/>
    <x v="2"/>
    <x v="297"/>
    <x v="1"/>
    <s v="Yes"/>
    <x v="30"/>
    <n v="4.22"/>
    <n v="3.55"/>
    <s v="Good"/>
    <x v="0"/>
    <x v="1"/>
  </r>
  <r>
    <x v="299"/>
    <x v="1"/>
    <n v="16"/>
    <x v="3"/>
    <x v="1"/>
    <n v="17"/>
    <x v="39"/>
    <x v="1"/>
    <x v="298"/>
    <x v="1"/>
    <s v="No"/>
    <x v="57"/>
    <n v="4.75"/>
    <n v="3.15"/>
    <s v="Average"/>
    <x v="1"/>
    <x v="1"/>
  </r>
  <r>
    <x v="300"/>
    <x v="0"/>
    <n v="17"/>
    <x v="6"/>
    <x v="0"/>
    <n v="19"/>
    <x v="6"/>
    <x v="3"/>
    <x v="299"/>
    <x v="1"/>
    <s v="Yes"/>
    <x v="111"/>
    <n v="4.63"/>
    <n v="4.42"/>
    <s v="Good"/>
    <x v="1"/>
    <x v="0"/>
  </r>
  <r>
    <x v="301"/>
    <x v="0"/>
    <n v="18"/>
    <x v="5"/>
    <x v="0"/>
    <n v="22"/>
    <x v="15"/>
    <x v="3"/>
    <x v="300"/>
    <x v="1"/>
    <s v="No"/>
    <x v="73"/>
    <n v="4.2300000000000004"/>
    <n v="3.97"/>
    <s v="Good"/>
    <x v="1"/>
    <x v="0"/>
  </r>
  <r>
    <x v="302"/>
    <x v="0"/>
    <n v="17"/>
    <x v="4"/>
    <x v="1"/>
    <n v="23"/>
    <x v="2"/>
    <x v="0"/>
    <x v="301"/>
    <x v="1"/>
    <s v="No"/>
    <x v="145"/>
    <n v="3.67"/>
    <n v="4.79"/>
    <s v="Excellent"/>
    <x v="1"/>
    <x v="0"/>
  </r>
  <r>
    <x v="303"/>
    <x v="1"/>
    <n v="16"/>
    <x v="5"/>
    <x v="1"/>
    <n v="5"/>
    <x v="25"/>
    <x v="3"/>
    <x v="302"/>
    <x v="0"/>
    <s v="No"/>
    <x v="159"/>
    <n v="3.67"/>
    <n v="4.97"/>
    <s v="Excellent"/>
    <x v="0"/>
    <x v="0"/>
  </r>
  <r>
    <x v="304"/>
    <x v="1"/>
    <n v="16"/>
    <x v="6"/>
    <x v="0"/>
    <n v="10"/>
    <x v="7"/>
    <x v="0"/>
    <x v="303"/>
    <x v="1"/>
    <s v="Yes"/>
    <x v="105"/>
    <n v="4.7"/>
    <n v="3.8"/>
    <s v="Good"/>
    <x v="0"/>
    <x v="1"/>
  </r>
  <r>
    <x v="305"/>
    <x v="0"/>
    <n v="17"/>
    <x v="5"/>
    <x v="1"/>
    <n v="27"/>
    <x v="38"/>
    <x v="1"/>
    <x v="304"/>
    <x v="1"/>
    <s v="Yes"/>
    <x v="75"/>
    <n v="4.29"/>
    <n v="3.83"/>
    <s v="Good"/>
    <x v="1"/>
    <x v="1"/>
  </r>
  <r>
    <x v="306"/>
    <x v="1"/>
    <n v="18"/>
    <x v="7"/>
    <x v="0"/>
    <n v="6"/>
    <x v="34"/>
    <x v="3"/>
    <x v="305"/>
    <x v="1"/>
    <s v="Yes"/>
    <x v="122"/>
    <n v="4.22"/>
    <n v="3.82"/>
    <s v="Good"/>
    <x v="0"/>
    <x v="1"/>
  </r>
  <r>
    <x v="307"/>
    <x v="1"/>
    <n v="18"/>
    <x v="1"/>
    <x v="1"/>
    <n v="28"/>
    <x v="28"/>
    <x v="0"/>
    <x v="306"/>
    <x v="1"/>
    <s v="Yes"/>
    <x v="141"/>
    <n v="4.5199999999999996"/>
    <n v="3.65"/>
    <s v="Good"/>
    <x v="1"/>
    <x v="1"/>
  </r>
  <r>
    <x v="308"/>
    <x v="1"/>
    <n v="15"/>
    <x v="0"/>
    <x v="1"/>
    <n v="18"/>
    <x v="8"/>
    <x v="2"/>
    <x v="307"/>
    <x v="0"/>
    <s v="Yes"/>
    <x v="121"/>
    <n v="4.79"/>
    <n v="4.5599999999999996"/>
    <s v="Excellent"/>
    <x v="1"/>
    <x v="1"/>
  </r>
  <r>
    <x v="309"/>
    <x v="1"/>
    <n v="18"/>
    <x v="4"/>
    <x v="0"/>
    <n v="10"/>
    <x v="11"/>
    <x v="0"/>
    <x v="308"/>
    <x v="0"/>
    <s v="No"/>
    <x v="160"/>
    <n v="4.4400000000000004"/>
    <n v="4.5199999999999996"/>
    <s v="Excellent"/>
    <x v="0"/>
    <x v="0"/>
  </r>
  <r>
    <x v="310"/>
    <x v="1"/>
    <n v="17"/>
    <x v="2"/>
    <x v="1"/>
    <n v="18"/>
    <x v="12"/>
    <x v="3"/>
    <x v="309"/>
    <x v="1"/>
    <s v="No"/>
    <x v="161"/>
    <n v="4.6399999999999997"/>
    <n v="3.96"/>
    <s v="Good"/>
    <x v="1"/>
    <x v="0"/>
  </r>
  <r>
    <x v="311"/>
    <x v="0"/>
    <n v="16"/>
    <x v="1"/>
    <x v="1"/>
    <n v="8"/>
    <x v="36"/>
    <x v="1"/>
    <x v="310"/>
    <x v="1"/>
    <s v="No"/>
    <x v="80"/>
    <n v="4.6500000000000004"/>
    <n v="3.09"/>
    <s v="Average"/>
    <x v="0"/>
    <x v="1"/>
  </r>
  <r>
    <x v="312"/>
    <x v="1"/>
    <n v="15"/>
    <x v="0"/>
    <x v="1"/>
    <n v="25"/>
    <x v="2"/>
    <x v="3"/>
    <x v="311"/>
    <x v="1"/>
    <s v="No"/>
    <x v="84"/>
    <n v="4.03"/>
    <n v="3.62"/>
    <s v="Good"/>
    <x v="1"/>
    <x v="1"/>
  </r>
  <r>
    <x v="313"/>
    <x v="0"/>
    <n v="15"/>
    <x v="5"/>
    <x v="1"/>
    <n v="12"/>
    <x v="38"/>
    <x v="3"/>
    <x v="312"/>
    <x v="0"/>
    <s v="No"/>
    <x v="154"/>
    <n v="3.91"/>
    <n v="3.58"/>
    <s v="Good"/>
    <x v="0"/>
    <x v="0"/>
  </r>
  <r>
    <x v="314"/>
    <x v="0"/>
    <n v="16"/>
    <x v="4"/>
    <x v="1"/>
    <n v="7"/>
    <x v="13"/>
    <x v="0"/>
    <x v="313"/>
    <x v="0"/>
    <s v="No"/>
    <x v="66"/>
    <n v="4.7"/>
    <n v="4.62"/>
    <s v="Excellent"/>
    <x v="0"/>
    <x v="0"/>
  </r>
  <r>
    <x v="315"/>
    <x v="1"/>
    <n v="18"/>
    <x v="5"/>
    <x v="1"/>
    <n v="23"/>
    <x v="10"/>
    <x v="2"/>
    <x v="314"/>
    <x v="0"/>
    <s v="No"/>
    <x v="74"/>
    <n v="4.07"/>
    <n v="3.18"/>
    <s v="Average"/>
    <x v="1"/>
    <x v="0"/>
  </r>
  <r>
    <x v="316"/>
    <x v="0"/>
    <n v="16"/>
    <x v="7"/>
    <x v="0"/>
    <n v="18"/>
    <x v="32"/>
    <x v="3"/>
    <x v="315"/>
    <x v="0"/>
    <s v="Yes"/>
    <x v="92"/>
    <n v="4.8600000000000003"/>
    <n v="4.6100000000000003"/>
    <s v="Excellent"/>
    <x v="1"/>
    <x v="0"/>
  </r>
  <r>
    <x v="317"/>
    <x v="0"/>
    <n v="18"/>
    <x v="6"/>
    <x v="0"/>
    <n v="24"/>
    <x v="29"/>
    <x v="2"/>
    <x v="316"/>
    <x v="0"/>
    <s v="No"/>
    <x v="109"/>
    <n v="3.6"/>
    <n v="4.34"/>
    <s v="Good"/>
    <x v="1"/>
    <x v="1"/>
  </r>
  <r>
    <x v="318"/>
    <x v="0"/>
    <n v="16"/>
    <x v="4"/>
    <x v="1"/>
    <n v="21"/>
    <x v="27"/>
    <x v="0"/>
    <x v="317"/>
    <x v="0"/>
    <s v="Yes"/>
    <x v="122"/>
    <n v="3.59"/>
    <n v="4.46"/>
    <s v="Good"/>
    <x v="1"/>
    <x v="1"/>
  </r>
  <r>
    <x v="319"/>
    <x v="1"/>
    <n v="17"/>
    <x v="0"/>
    <x v="0"/>
    <n v="29"/>
    <x v="36"/>
    <x v="2"/>
    <x v="318"/>
    <x v="1"/>
    <s v="No"/>
    <x v="122"/>
    <n v="4.8899999999999997"/>
    <n v="3.86"/>
    <s v="Good"/>
    <x v="1"/>
    <x v="1"/>
  </r>
  <r>
    <x v="320"/>
    <x v="1"/>
    <n v="18"/>
    <x v="0"/>
    <x v="0"/>
    <n v="12"/>
    <x v="31"/>
    <x v="0"/>
    <x v="319"/>
    <x v="0"/>
    <s v="No"/>
    <x v="42"/>
    <n v="4.47"/>
    <n v="4.3600000000000003"/>
    <s v="Good"/>
    <x v="0"/>
    <x v="0"/>
  </r>
  <r>
    <x v="321"/>
    <x v="0"/>
    <n v="17"/>
    <x v="7"/>
    <x v="0"/>
    <n v="28"/>
    <x v="18"/>
    <x v="1"/>
    <x v="320"/>
    <x v="0"/>
    <s v="Yes"/>
    <x v="162"/>
    <n v="4.07"/>
    <n v="4.22"/>
    <s v="Good"/>
    <x v="1"/>
    <x v="0"/>
  </r>
  <r>
    <x v="322"/>
    <x v="1"/>
    <n v="15"/>
    <x v="7"/>
    <x v="1"/>
    <n v="18"/>
    <x v="26"/>
    <x v="2"/>
    <x v="321"/>
    <x v="1"/>
    <s v="No"/>
    <x v="147"/>
    <n v="4.63"/>
    <n v="4.54"/>
    <s v="Excellent"/>
    <x v="1"/>
    <x v="0"/>
  </r>
  <r>
    <x v="323"/>
    <x v="1"/>
    <n v="16"/>
    <x v="3"/>
    <x v="0"/>
    <n v="10"/>
    <x v="34"/>
    <x v="2"/>
    <x v="322"/>
    <x v="0"/>
    <s v="Yes"/>
    <x v="109"/>
    <n v="4.51"/>
    <n v="3.89"/>
    <s v="Good"/>
    <x v="0"/>
    <x v="1"/>
  </r>
  <r>
    <x v="324"/>
    <x v="1"/>
    <n v="15"/>
    <x v="4"/>
    <x v="1"/>
    <n v="27"/>
    <x v="27"/>
    <x v="1"/>
    <x v="323"/>
    <x v="1"/>
    <s v="No"/>
    <x v="140"/>
    <n v="4.3"/>
    <n v="3.95"/>
    <s v="Good"/>
    <x v="1"/>
    <x v="0"/>
  </r>
  <r>
    <x v="325"/>
    <x v="1"/>
    <n v="15"/>
    <x v="5"/>
    <x v="0"/>
    <n v="26"/>
    <x v="27"/>
    <x v="2"/>
    <x v="324"/>
    <x v="0"/>
    <s v="Yes"/>
    <x v="28"/>
    <n v="3.65"/>
    <n v="4.29"/>
    <s v="Good"/>
    <x v="1"/>
    <x v="0"/>
  </r>
  <r>
    <x v="326"/>
    <x v="0"/>
    <n v="15"/>
    <x v="2"/>
    <x v="1"/>
    <n v="20"/>
    <x v="2"/>
    <x v="1"/>
    <x v="325"/>
    <x v="1"/>
    <s v="No"/>
    <x v="13"/>
    <n v="4.72"/>
    <n v="3.22"/>
    <s v="Average"/>
    <x v="1"/>
    <x v="1"/>
  </r>
  <r>
    <x v="327"/>
    <x v="0"/>
    <n v="15"/>
    <x v="0"/>
    <x v="1"/>
    <n v="29"/>
    <x v="29"/>
    <x v="3"/>
    <x v="326"/>
    <x v="1"/>
    <s v="Yes"/>
    <x v="68"/>
    <n v="4.8"/>
    <n v="3.87"/>
    <s v="Good"/>
    <x v="1"/>
    <x v="0"/>
  </r>
  <r>
    <x v="328"/>
    <x v="1"/>
    <n v="16"/>
    <x v="0"/>
    <x v="0"/>
    <n v="23"/>
    <x v="26"/>
    <x v="0"/>
    <x v="327"/>
    <x v="1"/>
    <s v="Yes"/>
    <x v="6"/>
    <n v="3.76"/>
    <n v="4.9400000000000004"/>
    <s v="Excellent"/>
    <x v="1"/>
    <x v="0"/>
  </r>
  <r>
    <x v="329"/>
    <x v="1"/>
    <n v="15"/>
    <x v="7"/>
    <x v="0"/>
    <n v="18"/>
    <x v="25"/>
    <x v="1"/>
    <x v="328"/>
    <x v="1"/>
    <s v="No"/>
    <x v="149"/>
    <n v="4.78"/>
    <n v="3.08"/>
    <s v="Average"/>
    <x v="1"/>
    <x v="1"/>
  </r>
  <r>
    <x v="330"/>
    <x v="0"/>
    <n v="16"/>
    <x v="1"/>
    <x v="1"/>
    <n v="23"/>
    <x v="25"/>
    <x v="2"/>
    <x v="329"/>
    <x v="1"/>
    <s v="No"/>
    <x v="49"/>
    <n v="4.82"/>
    <n v="3.63"/>
    <s v="Good"/>
    <x v="1"/>
    <x v="1"/>
  </r>
  <r>
    <x v="331"/>
    <x v="0"/>
    <n v="16"/>
    <x v="7"/>
    <x v="0"/>
    <n v="7"/>
    <x v="39"/>
    <x v="1"/>
    <x v="330"/>
    <x v="0"/>
    <s v="Yes"/>
    <x v="157"/>
    <n v="4.32"/>
    <n v="3.63"/>
    <s v="Good"/>
    <x v="0"/>
    <x v="0"/>
  </r>
  <r>
    <x v="332"/>
    <x v="1"/>
    <n v="17"/>
    <x v="2"/>
    <x v="0"/>
    <n v="14"/>
    <x v="19"/>
    <x v="2"/>
    <x v="331"/>
    <x v="0"/>
    <s v="No"/>
    <x v="163"/>
    <n v="4.4800000000000004"/>
    <n v="4.2699999999999996"/>
    <s v="Good"/>
    <x v="0"/>
    <x v="0"/>
  </r>
  <r>
    <x v="333"/>
    <x v="0"/>
    <n v="18"/>
    <x v="5"/>
    <x v="0"/>
    <n v="23"/>
    <x v="30"/>
    <x v="3"/>
    <x v="332"/>
    <x v="1"/>
    <s v="Yes"/>
    <x v="14"/>
    <n v="4.07"/>
    <n v="3.21"/>
    <s v="Average"/>
    <x v="1"/>
    <x v="1"/>
  </r>
  <r>
    <x v="334"/>
    <x v="1"/>
    <n v="18"/>
    <x v="5"/>
    <x v="1"/>
    <n v="13"/>
    <x v="10"/>
    <x v="1"/>
    <x v="333"/>
    <x v="1"/>
    <s v="No"/>
    <x v="104"/>
    <n v="3.92"/>
    <n v="4.26"/>
    <s v="Good"/>
    <x v="0"/>
    <x v="0"/>
  </r>
  <r>
    <x v="335"/>
    <x v="1"/>
    <n v="16"/>
    <x v="1"/>
    <x v="1"/>
    <n v="24"/>
    <x v="33"/>
    <x v="3"/>
    <x v="334"/>
    <x v="1"/>
    <s v="Yes"/>
    <x v="127"/>
    <n v="4.58"/>
    <n v="3.19"/>
    <s v="Average"/>
    <x v="1"/>
    <x v="1"/>
  </r>
  <r>
    <x v="336"/>
    <x v="0"/>
    <n v="17"/>
    <x v="0"/>
    <x v="0"/>
    <n v="17"/>
    <x v="31"/>
    <x v="0"/>
    <x v="335"/>
    <x v="0"/>
    <s v="No"/>
    <x v="112"/>
    <n v="4.79"/>
    <n v="3.19"/>
    <s v="Average"/>
    <x v="1"/>
    <x v="1"/>
  </r>
  <r>
    <x v="337"/>
    <x v="0"/>
    <n v="16"/>
    <x v="7"/>
    <x v="0"/>
    <n v="11"/>
    <x v="16"/>
    <x v="2"/>
    <x v="336"/>
    <x v="1"/>
    <s v="Yes"/>
    <x v="101"/>
    <n v="4.4800000000000004"/>
    <n v="4.46"/>
    <s v="Good"/>
    <x v="0"/>
    <x v="0"/>
  </r>
  <r>
    <x v="338"/>
    <x v="1"/>
    <n v="16"/>
    <x v="3"/>
    <x v="0"/>
    <n v="18"/>
    <x v="11"/>
    <x v="2"/>
    <x v="337"/>
    <x v="1"/>
    <s v="No"/>
    <x v="29"/>
    <n v="4.2699999999999996"/>
    <n v="3.65"/>
    <s v="Good"/>
    <x v="1"/>
    <x v="0"/>
  </r>
  <r>
    <x v="339"/>
    <x v="1"/>
    <n v="16"/>
    <x v="5"/>
    <x v="1"/>
    <n v="13"/>
    <x v="22"/>
    <x v="3"/>
    <x v="338"/>
    <x v="1"/>
    <s v="Yes"/>
    <x v="164"/>
    <n v="3.74"/>
    <n v="4.95"/>
    <s v="Excellent"/>
    <x v="0"/>
    <x v="0"/>
  </r>
  <r>
    <x v="340"/>
    <x v="0"/>
    <n v="17"/>
    <x v="2"/>
    <x v="1"/>
    <n v="27"/>
    <x v="6"/>
    <x v="0"/>
    <x v="339"/>
    <x v="1"/>
    <s v="Yes"/>
    <x v="73"/>
    <n v="3.58"/>
    <n v="3.07"/>
    <s v="Average"/>
    <x v="1"/>
    <x v="1"/>
  </r>
  <r>
    <x v="341"/>
    <x v="1"/>
    <n v="18"/>
    <x v="4"/>
    <x v="0"/>
    <n v="29"/>
    <x v="7"/>
    <x v="1"/>
    <x v="340"/>
    <x v="0"/>
    <s v="No"/>
    <x v="165"/>
    <n v="4.17"/>
    <n v="3.89"/>
    <s v="Good"/>
    <x v="1"/>
    <x v="1"/>
  </r>
  <r>
    <x v="342"/>
    <x v="0"/>
    <n v="17"/>
    <x v="6"/>
    <x v="0"/>
    <n v="23"/>
    <x v="29"/>
    <x v="1"/>
    <x v="341"/>
    <x v="1"/>
    <s v="No"/>
    <x v="48"/>
    <n v="3.57"/>
    <n v="3.23"/>
    <s v="Average"/>
    <x v="1"/>
    <x v="1"/>
  </r>
  <r>
    <x v="343"/>
    <x v="1"/>
    <n v="15"/>
    <x v="6"/>
    <x v="0"/>
    <n v="19"/>
    <x v="23"/>
    <x v="2"/>
    <x v="342"/>
    <x v="1"/>
    <s v="Yes"/>
    <x v="166"/>
    <n v="4.3499999999999996"/>
    <n v="3.7"/>
    <s v="Good"/>
    <x v="1"/>
    <x v="1"/>
  </r>
  <r>
    <x v="344"/>
    <x v="0"/>
    <n v="17"/>
    <x v="6"/>
    <x v="0"/>
    <n v="24"/>
    <x v="2"/>
    <x v="3"/>
    <x v="343"/>
    <x v="0"/>
    <s v="Yes"/>
    <x v="167"/>
    <n v="4.07"/>
    <n v="5"/>
    <s v="Excellent"/>
    <x v="1"/>
    <x v="0"/>
  </r>
  <r>
    <x v="345"/>
    <x v="0"/>
    <n v="17"/>
    <x v="3"/>
    <x v="0"/>
    <n v="18"/>
    <x v="12"/>
    <x v="3"/>
    <x v="344"/>
    <x v="1"/>
    <s v="Yes"/>
    <x v="141"/>
    <n v="4.6399999999999997"/>
    <n v="4.78"/>
    <s v="Excellent"/>
    <x v="1"/>
    <x v="0"/>
  </r>
  <r>
    <x v="346"/>
    <x v="0"/>
    <n v="17"/>
    <x v="0"/>
    <x v="0"/>
    <n v="28"/>
    <x v="9"/>
    <x v="1"/>
    <x v="345"/>
    <x v="1"/>
    <s v="Yes"/>
    <x v="168"/>
    <n v="3.96"/>
    <n v="3.1"/>
    <s v="Average"/>
    <x v="1"/>
    <x v="0"/>
  </r>
  <r>
    <x v="347"/>
    <x v="1"/>
    <n v="17"/>
    <x v="7"/>
    <x v="1"/>
    <n v="10"/>
    <x v="22"/>
    <x v="0"/>
    <x v="346"/>
    <x v="0"/>
    <s v="No"/>
    <x v="44"/>
    <n v="4.3899999999999997"/>
    <n v="4.13"/>
    <s v="Good"/>
    <x v="0"/>
    <x v="0"/>
  </r>
  <r>
    <x v="348"/>
    <x v="1"/>
    <n v="18"/>
    <x v="1"/>
    <x v="0"/>
    <n v="25"/>
    <x v="18"/>
    <x v="0"/>
    <x v="347"/>
    <x v="0"/>
    <s v="Yes"/>
    <x v="169"/>
    <n v="4.3099999999999996"/>
    <n v="4.3"/>
    <s v="Good"/>
    <x v="1"/>
    <x v="1"/>
  </r>
  <r>
    <x v="349"/>
    <x v="0"/>
    <n v="15"/>
    <x v="3"/>
    <x v="1"/>
    <n v="8"/>
    <x v="39"/>
    <x v="1"/>
    <x v="348"/>
    <x v="0"/>
    <s v="Yes"/>
    <x v="98"/>
    <n v="3.51"/>
    <n v="3.42"/>
    <s v="Average"/>
    <x v="0"/>
    <x v="1"/>
  </r>
  <r>
    <x v="350"/>
    <x v="1"/>
    <n v="18"/>
    <x v="3"/>
    <x v="0"/>
    <n v="12"/>
    <x v="17"/>
    <x v="1"/>
    <x v="349"/>
    <x v="1"/>
    <s v="Yes"/>
    <x v="10"/>
    <n v="3.61"/>
    <n v="3.29"/>
    <s v="Average"/>
    <x v="0"/>
    <x v="0"/>
  </r>
  <r>
    <x v="351"/>
    <x v="0"/>
    <n v="18"/>
    <x v="5"/>
    <x v="0"/>
    <n v="21"/>
    <x v="25"/>
    <x v="3"/>
    <x v="350"/>
    <x v="1"/>
    <s v="No"/>
    <x v="5"/>
    <n v="3.94"/>
    <n v="4.8099999999999996"/>
    <s v="Excellent"/>
    <x v="1"/>
    <x v="0"/>
  </r>
  <r>
    <x v="352"/>
    <x v="0"/>
    <n v="17"/>
    <x v="4"/>
    <x v="1"/>
    <n v="13"/>
    <x v="4"/>
    <x v="0"/>
    <x v="351"/>
    <x v="0"/>
    <s v="Yes"/>
    <x v="66"/>
    <n v="4.82"/>
    <n v="4.9400000000000004"/>
    <s v="Excellent"/>
    <x v="0"/>
    <x v="0"/>
  </r>
  <r>
    <x v="353"/>
    <x v="1"/>
    <n v="16"/>
    <x v="3"/>
    <x v="1"/>
    <n v="5"/>
    <x v="10"/>
    <x v="1"/>
    <x v="352"/>
    <x v="0"/>
    <s v="No"/>
    <x v="117"/>
    <n v="3.72"/>
    <n v="4.9800000000000004"/>
    <s v="Excellent"/>
    <x v="0"/>
    <x v="0"/>
  </r>
  <r>
    <x v="354"/>
    <x v="1"/>
    <n v="16"/>
    <x v="2"/>
    <x v="1"/>
    <n v="28"/>
    <x v="3"/>
    <x v="1"/>
    <x v="353"/>
    <x v="0"/>
    <s v="No"/>
    <x v="45"/>
    <n v="4.57"/>
    <n v="4.58"/>
    <s v="Excellent"/>
    <x v="1"/>
    <x v="1"/>
  </r>
  <r>
    <x v="355"/>
    <x v="0"/>
    <n v="18"/>
    <x v="4"/>
    <x v="1"/>
    <n v="24"/>
    <x v="36"/>
    <x v="2"/>
    <x v="354"/>
    <x v="1"/>
    <s v="No"/>
    <x v="142"/>
    <n v="4.96"/>
    <n v="4.33"/>
    <s v="Good"/>
    <x v="1"/>
    <x v="1"/>
  </r>
  <r>
    <x v="356"/>
    <x v="1"/>
    <n v="18"/>
    <x v="2"/>
    <x v="0"/>
    <n v="29"/>
    <x v="15"/>
    <x v="1"/>
    <x v="355"/>
    <x v="1"/>
    <s v="No"/>
    <x v="170"/>
    <n v="4.6900000000000004"/>
    <n v="3.69"/>
    <s v="Good"/>
    <x v="1"/>
    <x v="1"/>
  </r>
  <r>
    <x v="357"/>
    <x v="1"/>
    <n v="17"/>
    <x v="0"/>
    <x v="1"/>
    <n v="18"/>
    <x v="18"/>
    <x v="1"/>
    <x v="356"/>
    <x v="0"/>
    <s v="No"/>
    <x v="1"/>
    <n v="3.86"/>
    <n v="3.34"/>
    <s v="Average"/>
    <x v="1"/>
    <x v="1"/>
  </r>
  <r>
    <x v="358"/>
    <x v="0"/>
    <n v="18"/>
    <x v="7"/>
    <x v="0"/>
    <n v="15"/>
    <x v="11"/>
    <x v="0"/>
    <x v="357"/>
    <x v="1"/>
    <s v="No"/>
    <x v="171"/>
    <n v="4.8600000000000003"/>
    <n v="3.16"/>
    <s v="Average"/>
    <x v="1"/>
    <x v="1"/>
  </r>
  <r>
    <x v="359"/>
    <x v="0"/>
    <n v="17"/>
    <x v="6"/>
    <x v="1"/>
    <n v="25"/>
    <x v="21"/>
    <x v="3"/>
    <x v="358"/>
    <x v="0"/>
    <s v="No"/>
    <x v="155"/>
    <n v="3.64"/>
    <n v="4.3899999999999997"/>
    <s v="Good"/>
    <x v="1"/>
    <x v="1"/>
  </r>
  <r>
    <x v="360"/>
    <x v="1"/>
    <n v="16"/>
    <x v="3"/>
    <x v="0"/>
    <n v="7"/>
    <x v="23"/>
    <x v="0"/>
    <x v="359"/>
    <x v="1"/>
    <s v="Yes"/>
    <x v="147"/>
    <n v="4.2"/>
    <n v="4.57"/>
    <s v="Excellent"/>
    <x v="0"/>
    <x v="0"/>
  </r>
  <r>
    <x v="361"/>
    <x v="0"/>
    <n v="16"/>
    <x v="7"/>
    <x v="0"/>
    <n v="13"/>
    <x v="6"/>
    <x v="3"/>
    <x v="360"/>
    <x v="1"/>
    <s v="Yes"/>
    <x v="172"/>
    <n v="4.83"/>
    <n v="4.6500000000000004"/>
    <s v="Excellent"/>
    <x v="0"/>
    <x v="0"/>
  </r>
  <r>
    <x v="362"/>
    <x v="0"/>
    <n v="15"/>
    <x v="0"/>
    <x v="0"/>
    <n v="18"/>
    <x v="6"/>
    <x v="2"/>
    <x v="361"/>
    <x v="1"/>
    <s v="No"/>
    <x v="141"/>
    <n v="4.46"/>
    <n v="4.83"/>
    <s v="Excellent"/>
    <x v="1"/>
    <x v="0"/>
  </r>
  <r>
    <x v="363"/>
    <x v="1"/>
    <n v="16"/>
    <x v="1"/>
    <x v="0"/>
    <n v="13"/>
    <x v="28"/>
    <x v="1"/>
    <x v="362"/>
    <x v="1"/>
    <s v="Yes"/>
    <x v="121"/>
    <n v="4.12"/>
    <n v="4.76"/>
    <s v="Excellent"/>
    <x v="0"/>
    <x v="1"/>
  </r>
  <r>
    <x v="364"/>
    <x v="0"/>
    <n v="18"/>
    <x v="1"/>
    <x v="0"/>
    <n v="8"/>
    <x v="21"/>
    <x v="2"/>
    <x v="363"/>
    <x v="0"/>
    <s v="Yes"/>
    <x v="114"/>
    <n v="3.94"/>
    <n v="5"/>
    <s v="Excellent"/>
    <x v="0"/>
    <x v="0"/>
  </r>
  <r>
    <x v="365"/>
    <x v="0"/>
    <n v="16"/>
    <x v="0"/>
    <x v="0"/>
    <n v="8"/>
    <x v="19"/>
    <x v="3"/>
    <x v="364"/>
    <x v="1"/>
    <s v="No"/>
    <x v="21"/>
    <n v="4.0599999999999996"/>
    <n v="3.49"/>
    <s v="Average"/>
    <x v="0"/>
    <x v="0"/>
  </r>
  <r>
    <x v="366"/>
    <x v="1"/>
    <n v="17"/>
    <x v="2"/>
    <x v="1"/>
    <n v="12"/>
    <x v="33"/>
    <x v="0"/>
    <x v="365"/>
    <x v="1"/>
    <s v="Yes"/>
    <x v="173"/>
    <n v="4.26"/>
    <n v="4.53"/>
    <s v="Excellent"/>
    <x v="0"/>
    <x v="0"/>
  </r>
  <r>
    <x v="367"/>
    <x v="1"/>
    <n v="16"/>
    <x v="5"/>
    <x v="0"/>
    <n v="6"/>
    <x v="37"/>
    <x v="0"/>
    <x v="366"/>
    <x v="0"/>
    <s v="No"/>
    <x v="167"/>
    <n v="3.98"/>
    <n v="4.17"/>
    <s v="Good"/>
    <x v="0"/>
    <x v="1"/>
  </r>
  <r>
    <x v="368"/>
    <x v="0"/>
    <n v="15"/>
    <x v="5"/>
    <x v="1"/>
    <n v="13"/>
    <x v="26"/>
    <x v="2"/>
    <x v="367"/>
    <x v="1"/>
    <s v="Yes"/>
    <x v="12"/>
    <n v="4.95"/>
    <n v="3.52"/>
    <s v="Good"/>
    <x v="0"/>
    <x v="0"/>
  </r>
  <r>
    <x v="369"/>
    <x v="0"/>
    <n v="16"/>
    <x v="2"/>
    <x v="1"/>
    <n v="18"/>
    <x v="5"/>
    <x v="3"/>
    <x v="368"/>
    <x v="0"/>
    <s v="No"/>
    <x v="91"/>
    <n v="4.9000000000000004"/>
    <n v="4.96"/>
    <s v="Excellent"/>
    <x v="1"/>
    <x v="0"/>
  </r>
  <r>
    <x v="370"/>
    <x v="1"/>
    <n v="17"/>
    <x v="1"/>
    <x v="0"/>
    <n v="26"/>
    <x v="1"/>
    <x v="2"/>
    <x v="369"/>
    <x v="0"/>
    <s v="No"/>
    <x v="69"/>
    <n v="4.8099999999999996"/>
    <n v="4.8"/>
    <s v="Excellent"/>
    <x v="1"/>
    <x v="0"/>
  </r>
  <r>
    <x v="371"/>
    <x v="1"/>
    <n v="17"/>
    <x v="1"/>
    <x v="1"/>
    <n v="13"/>
    <x v="0"/>
    <x v="2"/>
    <x v="370"/>
    <x v="1"/>
    <s v="Yes"/>
    <x v="111"/>
    <n v="4.13"/>
    <n v="3.26"/>
    <s v="Average"/>
    <x v="0"/>
    <x v="0"/>
  </r>
  <r>
    <x v="372"/>
    <x v="1"/>
    <n v="18"/>
    <x v="3"/>
    <x v="0"/>
    <n v="28"/>
    <x v="37"/>
    <x v="1"/>
    <x v="371"/>
    <x v="1"/>
    <s v="Yes"/>
    <x v="25"/>
    <n v="4.54"/>
    <n v="3.05"/>
    <s v="Average"/>
    <x v="1"/>
    <x v="1"/>
  </r>
  <r>
    <x v="373"/>
    <x v="1"/>
    <n v="16"/>
    <x v="1"/>
    <x v="1"/>
    <n v="27"/>
    <x v="33"/>
    <x v="2"/>
    <x v="372"/>
    <x v="0"/>
    <s v="No"/>
    <x v="54"/>
    <n v="4.8499999999999996"/>
    <n v="4.38"/>
    <s v="Good"/>
    <x v="1"/>
    <x v="2"/>
  </r>
  <r>
    <x v="374"/>
    <x v="0"/>
    <n v="17"/>
    <x v="7"/>
    <x v="0"/>
    <n v="20"/>
    <x v="23"/>
    <x v="1"/>
    <x v="373"/>
    <x v="0"/>
    <s v="No"/>
    <x v="102"/>
    <n v="4.78"/>
    <n v="4.21"/>
    <s v="Good"/>
    <x v="1"/>
    <x v="0"/>
  </r>
  <r>
    <x v="375"/>
    <x v="1"/>
    <n v="15"/>
    <x v="1"/>
    <x v="1"/>
    <n v="21"/>
    <x v="1"/>
    <x v="1"/>
    <x v="374"/>
    <x v="0"/>
    <s v="No"/>
    <x v="131"/>
    <n v="4.12"/>
    <n v="4.87"/>
    <s v="Excellent"/>
    <x v="1"/>
    <x v="0"/>
  </r>
  <r>
    <x v="376"/>
    <x v="1"/>
    <n v="18"/>
    <x v="4"/>
    <x v="0"/>
    <n v="20"/>
    <x v="2"/>
    <x v="0"/>
    <x v="375"/>
    <x v="1"/>
    <s v="Yes"/>
    <x v="3"/>
    <n v="3.67"/>
    <n v="3.47"/>
    <s v="Average"/>
    <x v="1"/>
    <x v="1"/>
  </r>
  <r>
    <x v="377"/>
    <x v="0"/>
    <n v="15"/>
    <x v="3"/>
    <x v="0"/>
    <n v="16"/>
    <x v="3"/>
    <x v="1"/>
    <x v="376"/>
    <x v="0"/>
    <s v="Yes"/>
    <x v="131"/>
    <n v="3.61"/>
    <n v="3.17"/>
    <s v="Average"/>
    <x v="1"/>
    <x v="1"/>
  </r>
  <r>
    <x v="378"/>
    <x v="1"/>
    <n v="16"/>
    <x v="6"/>
    <x v="0"/>
    <n v="7"/>
    <x v="6"/>
    <x v="1"/>
    <x v="377"/>
    <x v="0"/>
    <s v="Yes"/>
    <x v="46"/>
    <n v="4.37"/>
    <n v="3.52"/>
    <s v="Good"/>
    <x v="0"/>
    <x v="1"/>
  </r>
  <r>
    <x v="379"/>
    <x v="0"/>
    <n v="16"/>
    <x v="1"/>
    <x v="0"/>
    <n v="15"/>
    <x v="10"/>
    <x v="0"/>
    <x v="378"/>
    <x v="0"/>
    <s v="Yes"/>
    <x v="174"/>
    <n v="4.46"/>
    <n v="3.04"/>
    <s v="Average"/>
    <x v="1"/>
    <x v="1"/>
  </r>
  <r>
    <x v="380"/>
    <x v="1"/>
    <n v="16"/>
    <x v="2"/>
    <x v="1"/>
    <n v="18"/>
    <x v="22"/>
    <x v="2"/>
    <x v="379"/>
    <x v="1"/>
    <s v="No"/>
    <x v="161"/>
    <n v="4.7699999999999996"/>
    <n v="3.07"/>
    <s v="Average"/>
    <x v="1"/>
    <x v="1"/>
  </r>
  <r>
    <x v="381"/>
    <x v="1"/>
    <n v="18"/>
    <x v="6"/>
    <x v="0"/>
    <n v="22"/>
    <x v="32"/>
    <x v="3"/>
    <x v="380"/>
    <x v="0"/>
    <s v="No"/>
    <x v="22"/>
    <n v="3.94"/>
    <n v="4.83"/>
    <s v="Excellent"/>
    <x v="1"/>
    <x v="1"/>
  </r>
  <r>
    <x v="382"/>
    <x v="1"/>
    <n v="17"/>
    <x v="7"/>
    <x v="1"/>
    <n v="25"/>
    <x v="3"/>
    <x v="3"/>
    <x v="381"/>
    <x v="1"/>
    <s v="No"/>
    <x v="103"/>
    <n v="3.75"/>
    <n v="3.7"/>
    <s v="Good"/>
    <x v="1"/>
    <x v="0"/>
  </r>
  <r>
    <x v="383"/>
    <x v="0"/>
    <n v="18"/>
    <x v="2"/>
    <x v="1"/>
    <n v="25"/>
    <x v="18"/>
    <x v="3"/>
    <x v="382"/>
    <x v="1"/>
    <s v="No"/>
    <x v="175"/>
    <n v="4.07"/>
    <n v="3.82"/>
    <s v="Good"/>
    <x v="1"/>
    <x v="1"/>
  </r>
  <r>
    <x v="384"/>
    <x v="0"/>
    <n v="15"/>
    <x v="6"/>
    <x v="1"/>
    <n v="9"/>
    <x v="1"/>
    <x v="2"/>
    <x v="383"/>
    <x v="0"/>
    <s v="Yes"/>
    <x v="176"/>
    <n v="4.03"/>
    <n v="3.04"/>
    <s v="Average"/>
    <x v="0"/>
    <x v="1"/>
  </r>
  <r>
    <x v="385"/>
    <x v="1"/>
    <n v="18"/>
    <x v="2"/>
    <x v="0"/>
    <n v="20"/>
    <x v="27"/>
    <x v="1"/>
    <x v="384"/>
    <x v="1"/>
    <s v="No"/>
    <x v="49"/>
    <n v="3.7"/>
    <n v="3.54"/>
    <s v="Good"/>
    <x v="1"/>
    <x v="1"/>
  </r>
  <r>
    <x v="386"/>
    <x v="0"/>
    <n v="15"/>
    <x v="7"/>
    <x v="1"/>
    <n v="24"/>
    <x v="20"/>
    <x v="3"/>
    <x v="385"/>
    <x v="0"/>
    <s v="No"/>
    <x v="108"/>
    <n v="4.51"/>
    <n v="4.6100000000000003"/>
    <s v="Excellent"/>
    <x v="1"/>
    <x v="0"/>
  </r>
  <r>
    <x v="387"/>
    <x v="0"/>
    <n v="18"/>
    <x v="3"/>
    <x v="1"/>
    <n v="9"/>
    <x v="31"/>
    <x v="2"/>
    <x v="386"/>
    <x v="1"/>
    <s v="Yes"/>
    <x v="39"/>
    <n v="4.26"/>
    <n v="4.2300000000000004"/>
    <s v="Good"/>
    <x v="0"/>
    <x v="0"/>
  </r>
  <r>
    <x v="388"/>
    <x v="0"/>
    <n v="17"/>
    <x v="4"/>
    <x v="1"/>
    <n v="7"/>
    <x v="38"/>
    <x v="1"/>
    <x v="387"/>
    <x v="1"/>
    <s v="Yes"/>
    <x v="15"/>
    <n v="4.58"/>
    <n v="4.51"/>
    <s v="Excellent"/>
    <x v="0"/>
    <x v="1"/>
  </r>
  <r>
    <x v="389"/>
    <x v="0"/>
    <n v="15"/>
    <x v="7"/>
    <x v="0"/>
    <n v="16"/>
    <x v="37"/>
    <x v="0"/>
    <x v="388"/>
    <x v="0"/>
    <s v="No"/>
    <x v="165"/>
    <n v="4.03"/>
    <n v="3.89"/>
    <s v="Good"/>
    <x v="1"/>
    <x v="1"/>
  </r>
  <r>
    <x v="390"/>
    <x v="0"/>
    <n v="16"/>
    <x v="7"/>
    <x v="0"/>
    <n v="5"/>
    <x v="11"/>
    <x v="3"/>
    <x v="389"/>
    <x v="0"/>
    <s v="Yes"/>
    <x v="156"/>
    <n v="3.99"/>
    <n v="3.62"/>
    <s v="Good"/>
    <x v="0"/>
    <x v="1"/>
  </r>
  <r>
    <x v="391"/>
    <x v="0"/>
    <n v="16"/>
    <x v="2"/>
    <x v="1"/>
    <n v="25"/>
    <x v="30"/>
    <x v="1"/>
    <x v="390"/>
    <x v="0"/>
    <s v="No"/>
    <x v="51"/>
    <n v="4.21"/>
    <n v="3.97"/>
    <s v="Good"/>
    <x v="1"/>
    <x v="0"/>
  </r>
  <r>
    <x v="392"/>
    <x v="1"/>
    <n v="18"/>
    <x v="3"/>
    <x v="0"/>
    <n v="13"/>
    <x v="32"/>
    <x v="3"/>
    <x v="391"/>
    <x v="1"/>
    <s v="Yes"/>
    <x v="5"/>
    <n v="4.82"/>
    <n v="3.65"/>
    <s v="Good"/>
    <x v="0"/>
    <x v="1"/>
  </r>
  <r>
    <x v="393"/>
    <x v="1"/>
    <n v="16"/>
    <x v="0"/>
    <x v="0"/>
    <n v="13"/>
    <x v="25"/>
    <x v="3"/>
    <x v="392"/>
    <x v="1"/>
    <s v="Yes"/>
    <x v="76"/>
    <n v="3.56"/>
    <n v="4.68"/>
    <s v="Excellent"/>
    <x v="0"/>
    <x v="0"/>
  </r>
  <r>
    <x v="394"/>
    <x v="0"/>
    <n v="15"/>
    <x v="5"/>
    <x v="1"/>
    <n v="8"/>
    <x v="11"/>
    <x v="3"/>
    <x v="393"/>
    <x v="0"/>
    <s v="No"/>
    <x v="74"/>
    <n v="4.71"/>
    <n v="3.6"/>
    <s v="Good"/>
    <x v="0"/>
    <x v="0"/>
  </r>
  <r>
    <x v="395"/>
    <x v="1"/>
    <n v="16"/>
    <x v="1"/>
    <x v="1"/>
    <n v="7"/>
    <x v="1"/>
    <x v="1"/>
    <x v="394"/>
    <x v="0"/>
    <s v="Yes"/>
    <x v="60"/>
    <n v="4.05"/>
    <n v="4.32"/>
    <s v="Good"/>
    <x v="0"/>
    <x v="0"/>
  </r>
  <r>
    <x v="396"/>
    <x v="1"/>
    <n v="17"/>
    <x v="1"/>
    <x v="0"/>
    <n v="21"/>
    <x v="26"/>
    <x v="2"/>
    <x v="395"/>
    <x v="1"/>
    <s v="No"/>
    <x v="102"/>
    <n v="4.78"/>
    <n v="3.27"/>
    <s v="Average"/>
    <x v="1"/>
    <x v="1"/>
  </r>
  <r>
    <x v="397"/>
    <x v="1"/>
    <n v="17"/>
    <x v="4"/>
    <x v="1"/>
    <n v="6"/>
    <x v="34"/>
    <x v="1"/>
    <x v="396"/>
    <x v="1"/>
    <s v="Yes"/>
    <x v="70"/>
    <n v="4.7"/>
    <n v="4.37"/>
    <s v="Good"/>
    <x v="0"/>
    <x v="1"/>
  </r>
  <r>
    <x v="398"/>
    <x v="1"/>
    <n v="18"/>
    <x v="4"/>
    <x v="0"/>
    <n v="28"/>
    <x v="5"/>
    <x v="3"/>
    <x v="397"/>
    <x v="1"/>
    <s v="Yes"/>
    <x v="83"/>
    <n v="4.0199999999999996"/>
    <n v="4.83"/>
    <s v="Excellent"/>
    <x v="1"/>
    <x v="0"/>
  </r>
  <r>
    <x v="399"/>
    <x v="0"/>
    <n v="15"/>
    <x v="1"/>
    <x v="0"/>
    <n v="5"/>
    <x v="17"/>
    <x v="1"/>
    <x v="398"/>
    <x v="0"/>
    <s v="Yes"/>
    <x v="13"/>
    <n v="4.54"/>
    <n v="4.22"/>
    <s v="Good"/>
    <x v="0"/>
    <x v="1"/>
  </r>
  <r>
    <x v="400"/>
    <x v="1"/>
    <n v="17"/>
    <x v="5"/>
    <x v="0"/>
    <n v="12"/>
    <x v="30"/>
    <x v="0"/>
    <x v="399"/>
    <x v="1"/>
    <s v="Yes"/>
    <x v="93"/>
    <n v="3.74"/>
    <n v="4.12"/>
    <s v="Good"/>
    <x v="0"/>
    <x v="1"/>
  </r>
  <r>
    <x v="401"/>
    <x v="1"/>
    <n v="17"/>
    <x v="1"/>
    <x v="0"/>
    <n v="17"/>
    <x v="30"/>
    <x v="2"/>
    <x v="400"/>
    <x v="0"/>
    <s v="Yes"/>
    <x v="9"/>
    <n v="4.84"/>
    <n v="4.92"/>
    <s v="Excellent"/>
    <x v="1"/>
    <x v="0"/>
  </r>
  <r>
    <x v="402"/>
    <x v="0"/>
    <n v="15"/>
    <x v="0"/>
    <x v="0"/>
    <n v="27"/>
    <x v="7"/>
    <x v="1"/>
    <x v="401"/>
    <x v="1"/>
    <s v="No"/>
    <x v="42"/>
    <n v="4.1100000000000003"/>
    <n v="4.25"/>
    <s v="Good"/>
    <x v="1"/>
    <x v="0"/>
  </r>
  <r>
    <x v="403"/>
    <x v="0"/>
    <n v="16"/>
    <x v="5"/>
    <x v="0"/>
    <n v="19"/>
    <x v="29"/>
    <x v="0"/>
    <x v="402"/>
    <x v="1"/>
    <s v="Yes"/>
    <x v="177"/>
    <n v="4.18"/>
    <n v="3.52"/>
    <s v="Good"/>
    <x v="1"/>
    <x v="1"/>
  </r>
  <r>
    <x v="404"/>
    <x v="1"/>
    <n v="16"/>
    <x v="4"/>
    <x v="1"/>
    <n v="12"/>
    <x v="1"/>
    <x v="2"/>
    <x v="403"/>
    <x v="0"/>
    <s v="No"/>
    <x v="71"/>
    <n v="4.5599999999999996"/>
    <n v="3.58"/>
    <s v="Good"/>
    <x v="0"/>
    <x v="0"/>
  </r>
  <r>
    <x v="405"/>
    <x v="1"/>
    <n v="18"/>
    <x v="6"/>
    <x v="1"/>
    <n v="16"/>
    <x v="9"/>
    <x v="0"/>
    <x v="404"/>
    <x v="0"/>
    <s v="Yes"/>
    <x v="178"/>
    <n v="4.7300000000000004"/>
    <n v="4.41"/>
    <s v="Good"/>
    <x v="1"/>
    <x v="0"/>
  </r>
  <r>
    <x v="406"/>
    <x v="1"/>
    <n v="16"/>
    <x v="2"/>
    <x v="0"/>
    <n v="26"/>
    <x v="32"/>
    <x v="2"/>
    <x v="405"/>
    <x v="0"/>
    <s v="No"/>
    <x v="93"/>
    <n v="3.85"/>
    <n v="4.47"/>
    <s v="Good"/>
    <x v="1"/>
    <x v="1"/>
  </r>
  <r>
    <x v="407"/>
    <x v="1"/>
    <n v="15"/>
    <x v="0"/>
    <x v="0"/>
    <n v="16"/>
    <x v="1"/>
    <x v="1"/>
    <x v="406"/>
    <x v="1"/>
    <s v="Yes"/>
    <x v="165"/>
    <n v="4.49"/>
    <n v="3.61"/>
    <s v="Good"/>
    <x v="1"/>
    <x v="1"/>
  </r>
  <r>
    <x v="408"/>
    <x v="1"/>
    <n v="17"/>
    <x v="0"/>
    <x v="0"/>
    <n v="18"/>
    <x v="29"/>
    <x v="0"/>
    <x v="407"/>
    <x v="1"/>
    <s v="No"/>
    <x v="142"/>
    <n v="4.09"/>
    <n v="3.69"/>
    <s v="Good"/>
    <x v="1"/>
    <x v="1"/>
  </r>
  <r>
    <x v="409"/>
    <x v="1"/>
    <n v="16"/>
    <x v="3"/>
    <x v="1"/>
    <n v="19"/>
    <x v="35"/>
    <x v="3"/>
    <x v="408"/>
    <x v="1"/>
    <s v="No"/>
    <x v="131"/>
    <n v="4.05"/>
    <n v="4.9800000000000004"/>
    <s v="Excellent"/>
    <x v="1"/>
    <x v="0"/>
  </r>
  <r>
    <x v="410"/>
    <x v="0"/>
    <n v="18"/>
    <x v="4"/>
    <x v="0"/>
    <n v="19"/>
    <x v="38"/>
    <x v="0"/>
    <x v="409"/>
    <x v="0"/>
    <s v="Yes"/>
    <x v="139"/>
    <n v="4.54"/>
    <n v="3.2"/>
    <s v="Average"/>
    <x v="1"/>
    <x v="1"/>
  </r>
  <r>
    <x v="411"/>
    <x v="1"/>
    <n v="16"/>
    <x v="4"/>
    <x v="1"/>
    <n v="13"/>
    <x v="18"/>
    <x v="2"/>
    <x v="410"/>
    <x v="1"/>
    <s v="Yes"/>
    <x v="96"/>
    <n v="4.08"/>
    <n v="3.81"/>
    <s v="Good"/>
    <x v="0"/>
    <x v="0"/>
  </r>
  <r>
    <x v="412"/>
    <x v="1"/>
    <n v="15"/>
    <x v="7"/>
    <x v="0"/>
    <n v="23"/>
    <x v="37"/>
    <x v="1"/>
    <x v="411"/>
    <x v="0"/>
    <s v="Yes"/>
    <x v="148"/>
    <n v="4.0199999999999996"/>
    <n v="3.12"/>
    <s v="Average"/>
    <x v="1"/>
    <x v="1"/>
  </r>
  <r>
    <x v="413"/>
    <x v="0"/>
    <n v="18"/>
    <x v="0"/>
    <x v="0"/>
    <n v="24"/>
    <x v="37"/>
    <x v="2"/>
    <x v="412"/>
    <x v="0"/>
    <s v="No"/>
    <x v="177"/>
    <n v="4.75"/>
    <n v="4.6399999999999997"/>
    <s v="Excellent"/>
    <x v="1"/>
    <x v="0"/>
  </r>
  <r>
    <x v="414"/>
    <x v="0"/>
    <n v="16"/>
    <x v="7"/>
    <x v="1"/>
    <n v="26"/>
    <x v="2"/>
    <x v="0"/>
    <x v="413"/>
    <x v="0"/>
    <s v="No"/>
    <x v="34"/>
    <n v="3.65"/>
    <n v="3.18"/>
    <s v="Average"/>
    <x v="1"/>
    <x v="1"/>
  </r>
  <r>
    <x v="415"/>
    <x v="0"/>
    <n v="18"/>
    <x v="7"/>
    <x v="1"/>
    <n v="12"/>
    <x v="14"/>
    <x v="0"/>
    <x v="414"/>
    <x v="1"/>
    <s v="Yes"/>
    <x v="179"/>
    <n v="4.51"/>
    <n v="4.3499999999999996"/>
    <s v="Good"/>
    <x v="0"/>
    <x v="0"/>
  </r>
  <r>
    <x v="416"/>
    <x v="0"/>
    <n v="15"/>
    <x v="2"/>
    <x v="0"/>
    <n v="25"/>
    <x v="8"/>
    <x v="3"/>
    <x v="415"/>
    <x v="1"/>
    <s v="Yes"/>
    <x v="147"/>
    <n v="3.87"/>
    <n v="3.11"/>
    <s v="Average"/>
    <x v="1"/>
    <x v="0"/>
  </r>
  <r>
    <x v="417"/>
    <x v="1"/>
    <n v="17"/>
    <x v="7"/>
    <x v="0"/>
    <n v="23"/>
    <x v="13"/>
    <x v="1"/>
    <x v="416"/>
    <x v="0"/>
    <s v="No"/>
    <x v="172"/>
    <n v="3.52"/>
    <n v="4.3499999999999996"/>
    <s v="Good"/>
    <x v="1"/>
    <x v="0"/>
  </r>
  <r>
    <x v="418"/>
    <x v="1"/>
    <n v="15"/>
    <x v="5"/>
    <x v="0"/>
    <n v="10"/>
    <x v="31"/>
    <x v="1"/>
    <x v="417"/>
    <x v="1"/>
    <s v="No"/>
    <x v="57"/>
    <n v="3.75"/>
    <n v="4.6900000000000004"/>
    <s v="Excellent"/>
    <x v="0"/>
    <x v="0"/>
  </r>
  <r>
    <x v="419"/>
    <x v="1"/>
    <n v="15"/>
    <x v="1"/>
    <x v="1"/>
    <n v="24"/>
    <x v="15"/>
    <x v="0"/>
    <x v="418"/>
    <x v="0"/>
    <s v="Yes"/>
    <x v="122"/>
    <n v="4.41"/>
    <n v="3.8"/>
    <s v="Good"/>
    <x v="1"/>
    <x v="1"/>
  </r>
  <r>
    <x v="420"/>
    <x v="1"/>
    <n v="15"/>
    <x v="6"/>
    <x v="1"/>
    <n v="29"/>
    <x v="24"/>
    <x v="1"/>
    <x v="419"/>
    <x v="0"/>
    <s v="No"/>
    <x v="44"/>
    <n v="4.5599999999999996"/>
    <n v="4.04"/>
    <s v="Good"/>
    <x v="1"/>
    <x v="0"/>
  </r>
  <r>
    <x v="421"/>
    <x v="1"/>
    <n v="15"/>
    <x v="4"/>
    <x v="1"/>
    <n v="23"/>
    <x v="15"/>
    <x v="3"/>
    <x v="420"/>
    <x v="1"/>
    <s v="Yes"/>
    <x v="18"/>
    <n v="3.53"/>
    <n v="3.8"/>
    <s v="Good"/>
    <x v="1"/>
    <x v="1"/>
  </r>
  <r>
    <x v="422"/>
    <x v="1"/>
    <n v="17"/>
    <x v="5"/>
    <x v="1"/>
    <n v="8"/>
    <x v="26"/>
    <x v="2"/>
    <x v="421"/>
    <x v="0"/>
    <s v="Yes"/>
    <x v="180"/>
    <n v="3.55"/>
    <n v="3.6"/>
    <s v="Good"/>
    <x v="0"/>
    <x v="1"/>
  </r>
  <r>
    <x v="423"/>
    <x v="0"/>
    <n v="17"/>
    <x v="6"/>
    <x v="1"/>
    <n v="27"/>
    <x v="2"/>
    <x v="1"/>
    <x v="422"/>
    <x v="0"/>
    <s v="Yes"/>
    <x v="91"/>
    <n v="4.8499999999999996"/>
    <n v="4.6100000000000003"/>
    <s v="Excellent"/>
    <x v="1"/>
    <x v="0"/>
  </r>
  <r>
    <x v="424"/>
    <x v="1"/>
    <n v="18"/>
    <x v="0"/>
    <x v="1"/>
    <n v="11"/>
    <x v="27"/>
    <x v="0"/>
    <x v="423"/>
    <x v="1"/>
    <s v="No"/>
    <x v="25"/>
    <n v="3.61"/>
    <n v="3.54"/>
    <s v="Good"/>
    <x v="0"/>
    <x v="1"/>
  </r>
  <r>
    <x v="425"/>
    <x v="0"/>
    <n v="16"/>
    <x v="0"/>
    <x v="0"/>
    <n v="8"/>
    <x v="34"/>
    <x v="2"/>
    <x v="424"/>
    <x v="0"/>
    <s v="No"/>
    <x v="3"/>
    <n v="4.84"/>
    <n v="4.45"/>
    <s v="Good"/>
    <x v="0"/>
    <x v="1"/>
  </r>
  <r>
    <x v="426"/>
    <x v="0"/>
    <n v="17"/>
    <x v="0"/>
    <x v="0"/>
    <n v="26"/>
    <x v="8"/>
    <x v="2"/>
    <x v="425"/>
    <x v="0"/>
    <s v="No"/>
    <x v="51"/>
    <n v="3.84"/>
    <n v="3.41"/>
    <s v="Average"/>
    <x v="1"/>
    <x v="1"/>
  </r>
  <r>
    <x v="427"/>
    <x v="1"/>
    <n v="17"/>
    <x v="5"/>
    <x v="1"/>
    <n v="16"/>
    <x v="30"/>
    <x v="3"/>
    <x v="426"/>
    <x v="0"/>
    <s v="No"/>
    <x v="181"/>
    <n v="4.6100000000000003"/>
    <n v="3.5"/>
    <s v="Good"/>
    <x v="1"/>
    <x v="1"/>
  </r>
  <r>
    <x v="428"/>
    <x v="0"/>
    <n v="16"/>
    <x v="5"/>
    <x v="0"/>
    <n v="17"/>
    <x v="24"/>
    <x v="0"/>
    <x v="427"/>
    <x v="0"/>
    <s v="Yes"/>
    <x v="82"/>
    <n v="3.96"/>
    <n v="3.67"/>
    <s v="Good"/>
    <x v="1"/>
    <x v="0"/>
  </r>
  <r>
    <x v="429"/>
    <x v="1"/>
    <n v="17"/>
    <x v="4"/>
    <x v="0"/>
    <n v="7"/>
    <x v="31"/>
    <x v="1"/>
    <x v="428"/>
    <x v="0"/>
    <s v="No"/>
    <x v="49"/>
    <n v="4.79"/>
    <n v="4.18"/>
    <s v="Good"/>
    <x v="0"/>
    <x v="1"/>
  </r>
  <r>
    <x v="430"/>
    <x v="0"/>
    <n v="15"/>
    <x v="1"/>
    <x v="1"/>
    <n v="26"/>
    <x v="8"/>
    <x v="0"/>
    <x v="429"/>
    <x v="0"/>
    <s v="Yes"/>
    <x v="77"/>
    <n v="4.55"/>
    <n v="3.91"/>
    <s v="Good"/>
    <x v="1"/>
    <x v="1"/>
  </r>
  <r>
    <x v="431"/>
    <x v="1"/>
    <n v="15"/>
    <x v="3"/>
    <x v="0"/>
    <n v="16"/>
    <x v="32"/>
    <x v="2"/>
    <x v="430"/>
    <x v="0"/>
    <s v="Yes"/>
    <x v="177"/>
    <n v="4.0999999999999996"/>
    <n v="4.49"/>
    <s v="Good"/>
    <x v="1"/>
    <x v="1"/>
  </r>
  <r>
    <x v="432"/>
    <x v="0"/>
    <n v="16"/>
    <x v="7"/>
    <x v="1"/>
    <n v="6"/>
    <x v="39"/>
    <x v="0"/>
    <x v="431"/>
    <x v="1"/>
    <s v="Yes"/>
    <x v="111"/>
    <n v="3.61"/>
    <n v="3.43"/>
    <s v="Average"/>
    <x v="0"/>
    <x v="0"/>
  </r>
  <r>
    <x v="433"/>
    <x v="1"/>
    <n v="18"/>
    <x v="0"/>
    <x v="1"/>
    <n v="28"/>
    <x v="36"/>
    <x v="1"/>
    <x v="432"/>
    <x v="1"/>
    <s v="No"/>
    <x v="95"/>
    <n v="4.5999999999999996"/>
    <n v="3.02"/>
    <s v="Average"/>
    <x v="1"/>
    <x v="1"/>
  </r>
  <r>
    <x v="434"/>
    <x v="1"/>
    <n v="18"/>
    <x v="2"/>
    <x v="0"/>
    <n v="6"/>
    <x v="21"/>
    <x v="1"/>
    <x v="433"/>
    <x v="0"/>
    <s v="Yes"/>
    <x v="112"/>
    <n v="4.43"/>
    <n v="4.55"/>
    <s v="Excellent"/>
    <x v="0"/>
    <x v="0"/>
  </r>
  <r>
    <x v="435"/>
    <x v="1"/>
    <n v="16"/>
    <x v="1"/>
    <x v="1"/>
    <n v="27"/>
    <x v="30"/>
    <x v="3"/>
    <x v="434"/>
    <x v="0"/>
    <s v="Yes"/>
    <x v="76"/>
    <n v="3.5"/>
    <n v="4.6399999999999997"/>
    <s v="Excellent"/>
    <x v="1"/>
    <x v="0"/>
  </r>
  <r>
    <x v="436"/>
    <x v="1"/>
    <n v="16"/>
    <x v="2"/>
    <x v="1"/>
    <n v="13"/>
    <x v="31"/>
    <x v="1"/>
    <x v="435"/>
    <x v="1"/>
    <s v="No"/>
    <x v="88"/>
    <n v="3.51"/>
    <n v="3.12"/>
    <s v="Average"/>
    <x v="0"/>
    <x v="1"/>
  </r>
  <r>
    <x v="437"/>
    <x v="1"/>
    <n v="15"/>
    <x v="4"/>
    <x v="1"/>
    <n v="5"/>
    <x v="17"/>
    <x v="1"/>
    <x v="436"/>
    <x v="1"/>
    <s v="Yes"/>
    <x v="149"/>
    <n v="4.71"/>
    <n v="4.22"/>
    <s v="Good"/>
    <x v="0"/>
    <x v="1"/>
  </r>
  <r>
    <x v="438"/>
    <x v="0"/>
    <n v="18"/>
    <x v="4"/>
    <x v="1"/>
    <n v="12"/>
    <x v="13"/>
    <x v="0"/>
    <x v="437"/>
    <x v="1"/>
    <s v="No"/>
    <x v="83"/>
    <n v="3.89"/>
    <n v="3.76"/>
    <s v="Good"/>
    <x v="0"/>
    <x v="1"/>
  </r>
  <r>
    <x v="439"/>
    <x v="0"/>
    <n v="17"/>
    <x v="4"/>
    <x v="1"/>
    <n v="27"/>
    <x v="8"/>
    <x v="0"/>
    <x v="438"/>
    <x v="1"/>
    <s v="No"/>
    <x v="55"/>
    <n v="4.45"/>
    <n v="4.59"/>
    <s v="Excellent"/>
    <x v="1"/>
    <x v="0"/>
  </r>
  <r>
    <x v="440"/>
    <x v="0"/>
    <n v="15"/>
    <x v="6"/>
    <x v="1"/>
    <n v="10"/>
    <x v="9"/>
    <x v="2"/>
    <x v="439"/>
    <x v="1"/>
    <s v="No"/>
    <x v="120"/>
    <n v="4.18"/>
    <n v="4.75"/>
    <s v="Excellent"/>
    <x v="0"/>
    <x v="0"/>
  </r>
  <r>
    <x v="441"/>
    <x v="1"/>
    <n v="16"/>
    <x v="2"/>
    <x v="1"/>
    <n v="10"/>
    <x v="21"/>
    <x v="3"/>
    <x v="440"/>
    <x v="0"/>
    <s v="Yes"/>
    <x v="108"/>
    <n v="4.8"/>
    <n v="4.7"/>
    <s v="Excellent"/>
    <x v="0"/>
    <x v="0"/>
  </r>
  <r>
    <x v="442"/>
    <x v="0"/>
    <n v="18"/>
    <x v="1"/>
    <x v="1"/>
    <n v="26"/>
    <x v="33"/>
    <x v="0"/>
    <x v="441"/>
    <x v="1"/>
    <s v="No"/>
    <x v="61"/>
    <n v="4.88"/>
    <n v="4.55"/>
    <s v="Excellent"/>
    <x v="1"/>
    <x v="0"/>
  </r>
  <r>
    <x v="443"/>
    <x v="1"/>
    <n v="17"/>
    <x v="3"/>
    <x v="0"/>
    <n v="29"/>
    <x v="3"/>
    <x v="1"/>
    <x v="442"/>
    <x v="1"/>
    <s v="No"/>
    <x v="177"/>
    <n v="5"/>
    <n v="3.54"/>
    <s v="Good"/>
    <x v="1"/>
    <x v="1"/>
  </r>
  <r>
    <x v="444"/>
    <x v="1"/>
    <n v="17"/>
    <x v="1"/>
    <x v="0"/>
    <n v="22"/>
    <x v="7"/>
    <x v="2"/>
    <x v="443"/>
    <x v="1"/>
    <s v="No"/>
    <x v="166"/>
    <n v="3.73"/>
    <n v="4.62"/>
    <s v="Excellent"/>
    <x v="1"/>
    <x v="0"/>
  </r>
  <r>
    <x v="445"/>
    <x v="0"/>
    <n v="15"/>
    <x v="5"/>
    <x v="0"/>
    <n v="21"/>
    <x v="19"/>
    <x v="0"/>
    <x v="444"/>
    <x v="0"/>
    <s v="No"/>
    <x v="153"/>
    <n v="4.79"/>
    <n v="4.07"/>
    <s v="Good"/>
    <x v="1"/>
    <x v="0"/>
  </r>
  <r>
    <x v="446"/>
    <x v="0"/>
    <n v="18"/>
    <x v="5"/>
    <x v="1"/>
    <n v="16"/>
    <x v="2"/>
    <x v="3"/>
    <x v="445"/>
    <x v="0"/>
    <s v="Yes"/>
    <x v="133"/>
    <n v="3.9"/>
    <n v="3.11"/>
    <s v="Average"/>
    <x v="1"/>
    <x v="1"/>
  </r>
  <r>
    <x v="447"/>
    <x v="1"/>
    <n v="18"/>
    <x v="0"/>
    <x v="1"/>
    <n v="10"/>
    <x v="25"/>
    <x v="3"/>
    <x v="446"/>
    <x v="0"/>
    <s v="No"/>
    <x v="124"/>
    <n v="4.3899999999999997"/>
    <n v="3.91"/>
    <s v="Good"/>
    <x v="0"/>
    <x v="0"/>
  </r>
  <r>
    <x v="448"/>
    <x v="0"/>
    <n v="16"/>
    <x v="3"/>
    <x v="0"/>
    <n v="12"/>
    <x v="20"/>
    <x v="2"/>
    <x v="447"/>
    <x v="0"/>
    <s v="Yes"/>
    <x v="157"/>
    <n v="4.26"/>
    <n v="4.88"/>
    <s v="Excellent"/>
    <x v="0"/>
    <x v="0"/>
  </r>
  <r>
    <x v="449"/>
    <x v="1"/>
    <n v="18"/>
    <x v="5"/>
    <x v="0"/>
    <n v="23"/>
    <x v="23"/>
    <x v="2"/>
    <x v="448"/>
    <x v="0"/>
    <s v="No"/>
    <x v="95"/>
    <n v="3.53"/>
    <n v="4.78"/>
    <s v="Excellent"/>
    <x v="1"/>
    <x v="0"/>
  </r>
  <r>
    <x v="450"/>
    <x v="1"/>
    <n v="18"/>
    <x v="4"/>
    <x v="0"/>
    <n v="14"/>
    <x v="10"/>
    <x v="2"/>
    <x v="449"/>
    <x v="0"/>
    <s v="Yes"/>
    <x v="173"/>
    <n v="4.9000000000000004"/>
    <n v="3.2"/>
    <s v="Average"/>
    <x v="0"/>
    <x v="1"/>
  </r>
  <r>
    <x v="451"/>
    <x v="1"/>
    <n v="15"/>
    <x v="1"/>
    <x v="1"/>
    <n v="5"/>
    <x v="28"/>
    <x v="2"/>
    <x v="450"/>
    <x v="1"/>
    <s v="No"/>
    <x v="160"/>
    <n v="3.62"/>
    <n v="4.49"/>
    <s v="Good"/>
    <x v="0"/>
    <x v="0"/>
  </r>
  <r>
    <x v="452"/>
    <x v="1"/>
    <n v="18"/>
    <x v="2"/>
    <x v="0"/>
    <n v="29"/>
    <x v="16"/>
    <x v="2"/>
    <x v="451"/>
    <x v="0"/>
    <s v="Yes"/>
    <x v="109"/>
    <n v="4.53"/>
    <n v="4.6100000000000003"/>
    <s v="Excellent"/>
    <x v="1"/>
    <x v="1"/>
  </r>
  <r>
    <x v="453"/>
    <x v="1"/>
    <n v="17"/>
    <x v="4"/>
    <x v="0"/>
    <n v="17"/>
    <x v="15"/>
    <x v="1"/>
    <x v="452"/>
    <x v="0"/>
    <s v="No"/>
    <x v="125"/>
    <n v="4.68"/>
    <n v="3.54"/>
    <s v="Good"/>
    <x v="1"/>
    <x v="1"/>
  </r>
  <r>
    <x v="454"/>
    <x v="0"/>
    <n v="15"/>
    <x v="6"/>
    <x v="1"/>
    <n v="21"/>
    <x v="29"/>
    <x v="1"/>
    <x v="453"/>
    <x v="1"/>
    <s v="Yes"/>
    <x v="111"/>
    <n v="4.6900000000000004"/>
    <n v="3.94"/>
    <s v="Good"/>
    <x v="1"/>
    <x v="0"/>
  </r>
  <r>
    <x v="455"/>
    <x v="0"/>
    <n v="15"/>
    <x v="5"/>
    <x v="0"/>
    <n v="7"/>
    <x v="21"/>
    <x v="0"/>
    <x v="454"/>
    <x v="0"/>
    <s v="Yes"/>
    <x v="38"/>
    <n v="3.7"/>
    <n v="4.42"/>
    <s v="Good"/>
    <x v="0"/>
    <x v="0"/>
  </r>
  <r>
    <x v="456"/>
    <x v="1"/>
    <n v="16"/>
    <x v="4"/>
    <x v="1"/>
    <n v="12"/>
    <x v="8"/>
    <x v="3"/>
    <x v="455"/>
    <x v="1"/>
    <s v="Yes"/>
    <x v="115"/>
    <n v="4.17"/>
    <n v="3.88"/>
    <s v="Good"/>
    <x v="0"/>
    <x v="1"/>
  </r>
  <r>
    <x v="457"/>
    <x v="1"/>
    <n v="18"/>
    <x v="4"/>
    <x v="1"/>
    <n v="18"/>
    <x v="14"/>
    <x v="1"/>
    <x v="456"/>
    <x v="1"/>
    <s v="No"/>
    <x v="140"/>
    <n v="4.74"/>
    <n v="3.23"/>
    <s v="Average"/>
    <x v="1"/>
    <x v="1"/>
  </r>
  <r>
    <x v="458"/>
    <x v="0"/>
    <n v="16"/>
    <x v="6"/>
    <x v="1"/>
    <n v="7"/>
    <x v="21"/>
    <x v="1"/>
    <x v="457"/>
    <x v="0"/>
    <s v="Yes"/>
    <x v="140"/>
    <n v="3.95"/>
    <n v="4.41"/>
    <s v="Good"/>
    <x v="0"/>
    <x v="0"/>
  </r>
  <r>
    <x v="459"/>
    <x v="0"/>
    <n v="17"/>
    <x v="7"/>
    <x v="0"/>
    <n v="20"/>
    <x v="28"/>
    <x v="1"/>
    <x v="458"/>
    <x v="1"/>
    <s v="Yes"/>
    <x v="182"/>
    <n v="4.2"/>
    <n v="4.82"/>
    <s v="Excellent"/>
    <x v="1"/>
    <x v="0"/>
  </r>
  <r>
    <x v="460"/>
    <x v="1"/>
    <n v="15"/>
    <x v="1"/>
    <x v="0"/>
    <n v="17"/>
    <x v="24"/>
    <x v="0"/>
    <x v="459"/>
    <x v="1"/>
    <s v="Yes"/>
    <x v="34"/>
    <n v="3.91"/>
    <n v="4.3"/>
    <s v="Good"/>
    <x v="1"/>
    <x v="0"/>
  </r>
  <r>
    <x v="461"/>
    <x v="0"/>
    <n v="15"/>
    <x v="2"/>
    <x v="1"/>
    <n v="24"/>
    <x v="9"/>
    <x v="2"/>
    <x v="460"/>
    <x v="1"/>
    <s v="Yes"/>
    <x v="183"/>
    <n v="4.2"/>
    <n v="4.55"/>
    <s v="Excellent"/>
    <x v="1"/>
    <x v="1"/>
  </r>
  <r>
    <x v="462"/>
    <x v="1"/>
    <n v="15"/>
    <x v="0"/>
    <x v="0"/>
    <n v="28"/>
    <x v="0"/>
    <x v="0"/>
    <x v="461"/>
    <x v="1"/>
    <s v="No"/>
    <x v="102"/>
    <n v="4.83"/>
    <n v="3.72"/>
    <s v="Good"/>
    <x v="1"/>
    <x v="0"/>
  </r>
  <r>
    <x v="463"/>
    <x v="0"/>
    <n v="17"/>
    <x v="7"/>
    <x v="0"/>
    <n v="21"/>
    <x v="39"/>
    <x v="3"/>
    <x v="462"/>
    <x v="0"/>
    <s v="Yes"/>
    <x v="126"/>
    <n v="4.18"/>
    <n v="3.37"/>
    <s v="Average"/>
    <x v="1"/>
    <x v="1"/>
  </r>
  <r>
    <x v="464"/>
    <x v="1"/>
    <n v="17"/>
    <x v="5"/>
    <x v="0"/>
    <n v="17"/>
    <x v="36"/>
    <x v="3"/>
    <x v="463"/>
    <x v="1"/>
    <s v="Yes"/>
    <x v="102"/>
    <n v="4.33"/>
    <n v="4.29"/>
    <s v="Good"/>
    <x v="1"/>
    <x v="0"/>
  </r>
  <r>
    <x v="465"/>
    <x v="0"/>
    <n v="16"/>
    <x v="4"/>
    <x v="0"/>
    <n v="10"/>
    <x v="9"/>
    <x v="3"/>
    <x v="464"/>
    <x v="0"/>
    <s v="Yes"/>
    <x v="7"/>
    <n v="4.1100000000000003"/>
    <n v="3.66"/>
    <s v="Good"/>
    <x v="0"/>
    <x v="0"/>
  </r>
  <r>
    <x v="466"/>
    <x v="1"/>
    <n v="16"/>
    <x v="3"/>
    <x v="1"/>
    <n v="21"/>
    <x v="1"/>
    <x v="3"/>
    <x v="465"/>
    <x v="1"/>
    <s v="No"/>
    <x v="184"/>
    <n v="4.1900000000000004"/>
    <n v="4.72"/>
    <s v="Excellent"/>
    <x v="1"/>
    <x v="0"/>
  </r>
  <r>
    <x v="467"/>
    <x v="0"/>
    <n v="16"/>
    <x v="6"/>
    <x v="0"/>
    <n v="18"/>
    <x v="30"/>
    <x v="1"/>
    <x v="466"/>
    <x v="1"/>
    <s v="Yes"/>
    <x v="185"/>
    <n v="3.52"/>
    <n v="3.25"/>
    <s v="Average"/>
    <x v="1"/>
    <x v="1"/>
  </r>
  <r>
    <x v="468"/>
    <x v="0"/>
    <n v="18"/>
    <x v="6"/>
    <x v="1"/>
    <n v="21"/>
    <x v="24"/>
    <x v="1"/>
    <x v="467"/>
    <x v="1"/>
    <s v="Yes"/>
    <x v="122"/>
    <n v="3.93"/>
    <n v="3.87"/>
    <s v="Good"/>
    <x v="1"/>
    <x v="1"/>
  </r>
  <r>
    <x v="469"/>
    <x v="1"/>
    <n v="15"/>
    <x v="3"/>
    <x v="1"/>
    <n v="12"/>
    <x v="39"/>
    <x v="0"/>
    <x v="468"/>
    <x v="0"/>
    <s v="Yes"/>
    <x v="37"/>
    <n v="4.1500000000000004"/>
    <n v="3.79"/>
    <s v="Good"/>
    <x v="0"/>
    <x v="1"/>
  </r>
  <r>
    <x v="470"/>
    <x v="0"/>
    <n v="15"/>
    <x v="1"/>
    <x v="0"/>
    <n v="15"/>
    <x v="12"/>
    <x v="2"/>
    <x v="469"/>
    <x v="0"/>
    <s v="Yes"/>
    <x v="77"/>
    <n v="4.45"/>
    <n v="4.88"/>
    <s v="Excellent"/>
    <x v="1"/>
    <x v="0"/>
  </r>
  <r>
    <x v="471"/>
    <x v="1"/>
    <n v="16"/>
    <x v="7"/>
    <x v="1"/>
    <n v="24"/>
    <x v="15"/>
    <x v="3"/>
    <x v="470"/>
    <x v="0"/>
    <s v="No"/>
    <x v="79"/>
    <n v="4.18"/>
    <n v="3.31"/>
    <s v="Average"/>
    <x v="1"/>
    <x v="1"/>
  </r>
  <r>
    <x v="472"/>
    <x v="0"/>
    <n v="15"/>
    <x v="0"/>
    <x v="0"/>
    <n v="5"/>
    <x v="39"/>
    <x v="0"/>
    <x v="471"/>
    <x v="1"/>
    <s v="Yes"/>
    <x v="32"/>
    <n v="4.01"/>
    <n v="3.02"/>
    <s v="Average"/>
    <x v="0"/>
    <x v="1"/>
  </r>
  <r>
    <x v="473"/>
    <x v="1"/>
    <n v="16"/>
    <x v="1"/>
    <x v="0"/>
    <n v="11"/>
    <x v="24"/>
    <x v="1"/>
    <x v="472"/>
    <x v="1"/>
    <s v="Yes"/>
    <x v="182"/>
    <n v="4.08"/>
    <n v="3.48"/>
    <s v="Average"/>
    <x v="0"/>
    <x v="1"/>
  </r>
  <r>
    <x v="474"/>
    <x v="0"/>
    <n v="18"/>
    <x v="3"/>
    <x v="1"/>
    <n v="25"/>
    <x v="8"/>
    <x v="1"/>
    <x v="473"/>
    <x v="1"/>
    <s v="No"/>
    <x v="184"/>
    <n v="3.86"/>
    <n v="4.6399999999999997"/>
    <s v="Excellent"/>
    <x v="1"/>
    <x v="0"/>
  </r>
  <r>
    <x v="475"/>
    <x v="1"/>
    <n v="18"/>
    <x v="4"/>
    <x v="1"/>
    <n v="25"/>
    <x v="23"/>
    <x v="2"/>
    <x v="474"/>
    <x v="1"/>
    <s v="No"/>
    <x v="1"/>
    <n v="4.8899999999999997"/>
    <n v="3.42"/>
    <s v="Average"/>
    <x v="1"/>
    <x v="1"/>
  </r>
  <r>
    <x v="476"/>
    <x v="0"/>
    <n v="17"/>
    <x v="3"/>
    <x v="1"/>
    <n v="21"/>
    <x v="39"/>
    <x v="2"/>
    <x v="475"/>
    <x v="0"/>
    <s v="No"/>
    <x v="62"/>
    <n v="4.28"/>
    <n v="3.48"/>
    <s v="Average"/>
    <x v="1"/>
    <x v="1"/>
  </r>
  <r>
    <x v="477"/>
    <x v="1"/>
    <n v="18"/>
    <x v="1"/>
    <x v="1"/>
    <n v="14"/>
    <x v="20"/>
    <x v="2"/>
    <x v="476"/>
    <x v="1"/>
    <s v="Yes"/>
    <x v="10"/>
    <n v="3.52"/>
    <n v="3.26"/>
    <s v="Average"/>
    <x v="0"/>
    <x v="0"/>
  </r>
  <r>
    <x v="478"/>
    <x v="0"/>
    <n v="16"/>
    <x v="2"/>
    <x v="0"/>
    <n v="15"/>
    <x v="4"/>
    <x v="0"/>
    <x v="477"/>
    <x v="0"/>
    <s v="No"/>
    <x v="132"/>
    <n v="3.53"/>
    <n v="4.43"/>
    <s v="Good"/>
    <x v="1"/>
    <x v="1"/>
  </r>
  <r>
    <x v="479"/>
    <x v="1"/>
    <n v="18"/>
    <x v="6"/>
    <x v="0"/>
    <n v="26"/>
    <x v="11"/>
    <x v="1"/>
    <x v="478"/>
    <x v="1"/>
    <s v="Yes"/>
    <x v="100"/>
    <n v="4.96"/>
    <n v="3.14"/>
    <s v="Average"/>
    <x v="1"/>
    <x v="1"/>
  </r>
  <r>
    <x v="480"/>
    <x v="1"/>
    <n v="17"/>
    <x v="6"/>
    <x v="0"/>
    <n v="13"/>
    <x v="2"/>
    <x v="1"/>
    <x v="479"/>
    <x v="0"/>
    <s v="No"/>
    <x v="24"/>
    <n v="3.83"/>
    <n v="3.66"/>
    <s v="Good"/>
    <x v="0"/>
    <x v="1"/>
  </r>
  <r>
    <x v="481"/>
    <x v="1"/>
    <n v="15"/>
    <x v="5"/>
    <x v="1"/>
    <n v="13"/>
    <x v="24"/>
    <x v="2"/>
    <x v="480"/>
    <x v="0"/>
    <s v="Yes"/>
    <x v="71"/>
    <n v="4.71"/>
    <n v="3.56"/>
    <s v="Good"/>
    <x v="0"/>
    <x v="0"/>
  </r>
  <r>
    <x v="482"/>
    <x v="0"/>
    <n v="16"/>
    <x v="5"/>
    <x v="1"/>
    <n v="28"/>
    <x v="17"/>
    <x v="3"/>
    <x v="481"/>
    <x v="1"/>
    <s v="No"/>
    <x v="54"/>
    <n v="3.59"/>
    <n v="4.1100000000000003"/>
    <s v="Good"/>
    <x v="1"/>
    <x v="1"/>
  </r>
  <r>
    <x v="483"/>
    <x v="1"/>
    <n v="15"/>
    <x v="3"/>
    <x v="1"/>
    <n v="9"/>
    <x v="7"/>
    <x v="2"/>
    <x v="482"/>
    <x v="1"/>
    <s v="Yes"/>
    <x v="116"/>
    <n v="4.88"/>
    <n v="4.46"/>
    <s v="Good"/>
    <x v="0"/>
    <x v="1"/>
  </r>
  <r>
    <x v="484"/>
    <x v="0"/>
    <n v="17"/>
    <x v="0"/>
    <x v="0"/>
    <n v="21"/>
    <x v="16"/>
    <x v="0"/>
    <x v="483"/>
    <x v="0"/>
    <s v="No"/>
    <x v="157"/>
    <n v="4.8099999999999996"/>
    <n v="4.07"/>
    <s v="Good"/>
    <x v="1"/>
    <x v="0"/>
  </r>
  <r>
    <x v="485"/>
    <x v="1"/>
    <n v="17"/>
    <x v="4"/>
    <x v="1"/>
    <n v="13"/>
    <x v="38"/>
    <x v="2"/>
    <x v="484"/>
    <x v="1"/>
    <s v="Yes"/>
    <x v="111"/>
    <n v="4.3600000000000003"/>
    <n v="4.8600000000000003"/>
    <s v="Excellent"/>
    <x v="0"/>
    <x v="0"/>
  </r>
  <r>
    <x v="486"/>
    <x v="0"/>
    <n v="17"/>
    <x v="2"/>
    <x v="0"/>
    <n v="21"/>
    <x v="25"/>
    <x v="2"/>
    <x v="485"/>
    <x v="1"/>
    <s v="Yes"/>
    <x v="66"/>
    <n v="3.51"/>
    <n v="4.9000000000000004"/>
    <s v="Excellent"/>
    <x v="1"/>
    <x v="0"/>
  </r>
  <r>
    <x v="487"/>
    <x v="1"/>
    <n v="15"/>
    <x v="7"/>
    <x v="1"/>
    <n v="28"/>
    <x v="15"/>
    <x v="0"/>
    <x v="486"/>
    <x v="0"/>
    <s v="Yes"/>
    <x v="25"/>
    <n v="3.89"/>
    <n v="3.72"/>
    <s v="Good"/>
    <x v="1"/>
    <x v="1"/>
  </r>
  <r>
    <x v="488"/>
    <x v="0"/>
    <n v="15"/>
    <x v="1"/>
    <x v="0"/>
    <n v="25"/>
    <x v="25"/>
    <x v="2"/>
    <x v="487"/>
    <x v="0"/>
    <s v="Yes"/>
    <x v="59"/>
    <n v="4.1100000000000003"/>
    <n v="4.5599999999999996"/>
    <s v="Excellent"/>
    <x v="1"/>
    <x v="0"/>
  </r>
  <r>
    <x v="489"/>
    <x v="0"/>
    <n v="15"/>
    <x v="0"/>
    <x v="0"/>
    <n v="23"/>
    <x v="8"/>
    <x v="1"/>
    <x v="488"/>
    <x v="0"/>
    <s v="Yes"/>
    <x v="186"/>
    <n v="4.1900000000000004"/>
    <n v="4.4800000000000004"/>
    <s v="Good"/>
    <x v="1"/>
    <x v="0"/>
  </r>
  <r>
    <x v="490"/>
    <x v="1"/>
    <n v="15"/>
    <x v="4"/>
    <x v="1"/>
    <n v="11"/>
    <x v="34"/>
    <x v="3"/>
    <x v="489"/>
    <x v="0"/>
    <s v="Yes"/>
    <x v="103"/>
    <n v="3.95"/>
    <n v="4.79"/>
    <s v="Excellent"/>
    <x v="0"/>
    <x v="0"/>
  </r>
  <r>
    <x v="491"/>
    <x v="0"/>
    <n v="17"/>
    <x v="5"/>
    <x v="1"/>
    <n v="27"/>
    <x v="7"/>
    <x v="2"/>
    <x v="490"/>
    <x v="1"/>
    <s v="Yes"/>
    <x v="19"/>
    <n v="3.55"/>
    <n v="3.9"/>
    <s v="Good"/>
    <x v="1"/>
    <x v="1"/>
  </r>
  <r>
    <x v="492"/>
    <x v="0"/>
    <n v="17"/>
    <x v="3"/>
    <x v="0"/>
    <n v="13"/>
    <x v="34"/>
    <x v="0"/>
    <x v="491"/>
    <x v="0"/>
    <s v="Yes"/>
    <x v="108"/>
    <n v="4.3899999999999997"/>
    <n v="4.0599999999999996"/>
    <s v="Good"/>
    <x v="0"/>
    <x v="0"/>
  </r>
  <r>
    <x v="493"/>
    <x v="1"/>
    <n v="16"/>
    <x v="1"/>
    <x v="0"/>
    <n v="11"/>
    <x v="27"/>
    <x v="3"/>
    <x v="492"/>
    <x v="0"/>
    <s v="No"/>
    <x v="187"/>
    <n v="4.29"/>
    <n v="3.83"/>
    <s v="Good"/>
    <x v="0"/>
    <x v="1"/>
  </r>
  <r>
    <x v="494"/>
    <x v="0"/>
    <n v="16"/>
    <x v="5"/>
    <x v="1"/>
    <n v="17"/>
    <x v="14"/>
    <x v="0"/>
    <x v="493"/>
    <x v="0"/>
    <s v="Yes"/>
    <x v="58"/>
    <n v="3.92"/>
    <n v="4.7"/>
    <s v="Excellent"/>
    <x v="1"/>
    <x v="0"/>
  </r>
  <r>
    <x v="495"/>
    <x v="0"/>
    <n v="15"/>
    <x v="3"/>
    <x v="1"/>
    <n v="15"/>
    <x v="33"/>
    <x v="3"/>
    <x v="494"/>
    <x v="1"/>
    <s v="Yes"/>
    <x v="9"/>
    <n v="3.56"/>
    <n v="3.46"/>
    <s v="Average"/>
    <x v="1"/>
    <x v="1"/>
  </r>
  <r>
    <x v="496"/>
    <x v="0"/>
    <n v="18"/>
    <x v="1"/>
    <x v="0"/>
    <n v="18"/>
    <x v="28"/>
    <x v="3"/>
    <x v="495"/>
    <x v="0"/>
    <s v="No"/>
    <x v="113"/>
    <n v="4.99"/>
    <n v="3.48"/>
    <s v="Average"/>
    <x v="1"/>
    <x v="2"/>
  </r>
  <r>
    <x v="497"/>
    <x v="1"/>
    <n v="18"/>
    <x v="7"/>
    <x v="1"/>
    <n v="23"/>
    <x v="35"/>
    <x v="2"/>
    <x v="496"/>
    <x v="1"/>
    <s v="Yes"/>
    <x v="110"/>
    <n v="4.22"/>
    <n v="3.75"/>
    <s v="Good"/>
    <x v="1"/>
    <x v="1"/>
  </r>
  <r>
    <x v="498"/>
    <x v="0"/>
    <n v="17"/>
    <x v="4"/>
    <x v="0"/>
    <n v="15"/>
    <x v="34"/>
    <x v="1"/>
    <x v="497"/>
    <x v="0"/>
    <s v="No"/>
    <x v="47"/>
    <n v="4.63"/>
    <n v="3.46"/>
    <s v="Average"/>
    <x v="1"/>
    <x v="1"/>
  </r>
  <r>
    <x v="499"/>
    <x v="1"/>
    <n v="17"/>
    <x v="1"/>
    <x v="0"/>
    <n v="17"/>
    <x v="33"/>
    <x v="2"/>
    <x v="498"/>
    <x v="0"/>
    <s v="Yes"/>
    <x v="37"/>
    <n v="4.18"/>
    <n v="4.12"/>
    <s v="Good"/>
    <x v="1"/>
    <x v="1"/>
  </r>
  <r>
    <x v="500"/>
    <x v="0"/>
    <n v="17"/>
    <x v="2"/>
    <x v="1"/>
    <n v="18"/>
    <x v="1"/>
    <x v="0"/>
    <x v="499"/>
    <x v="1"/>
    <s v="No"/>
    <x v="87"/>
    <n v="3.56"/>
    <n v="3.27"/>
    <s v="Average"/>
    <x v="1"/>
    <x v="1"/>
  </r>
  <r>
    <x v="501"/>
    <x v="0"/>
    <n v="16"/>
    <x v="0"/>
    <x v="1"/>
    <n v="17"/>
    <x v="20"/>
    <x v="0"/>
    <x v="500"/>
    <x v="0"/>
    <s v="No"/>
    <x v="0"/>
    <n v="3.96"/>
    <n v="3.64"/>
    <s v="Good"/>
    <x v="1"/>
    <x v="1"/>
  </r>
  <r>
    <x v="502"/>
    <x v="0"/>
    <n v="16"/>
    <x v="6"/>
    <x v="1"/>
    <n v="5"/>
    <x v="30"/>
    <x v="3"/>
    <x v="501"/>
    <x v="0"/>
    <s v="Yes"/>
    <x v="34"/>
    <n v="3.98"/>
    <n v="4.83"/>
    <s v="Excellent"/>
    <x v="0"/>
    <x v="0"/>
  </r>
  <r>
    <x v="503"/>
    <x v="1"/>
    <n v="17"/>
    <x v="2"/>
    <x v="1"/>
    <n v="12"/>
    <x v="39"/>
    <x v="3"/>
    <x v="502"/>
    <x v="1"/>
    <s v="No"/>
    <x v="105"/>
    <n v="4.76"/>
    <n v="3.82"/>
    <s v="Good"/>
    <x v="0"/>
    <x v="1"/>
  </r>
  <r>
    <x v="504"/>
    <x v="0"/>
    <n v="17"/>
    <x v="2"/>
    <x v="1"/>
    <n v="16"/>
    <x v="12"/>
    <x v="1"/>
    <x v="503"/>
    <x v="0"/>
    <s v="Yes"/>
    <x v="93"/>
    <n v="4.4800000000000004"/>
    <n v="4.5"/>
    <s v="Excellent"/>
    <x v="1"/>
    <x v="1"/>
  </r>
  <r>
    <x v="505"/>
    <x v="0"/>
    <n v="17"/>
    <x v="0"/>
    <x v="0"/>
    <n v="23"/>
    <x v="39"/>
    <x v="2"/>
    <x v="504"/>
    <x v="0"/>
    <s v="Yes"/>
    <x v="35"/>
    <n v="3.91"/>
    <n v="3.23"/>
    <s v="Average"/>
    <x v="1"/>
    <x v="1"/>
  </r>
  <r>
    <x v="506"/>
    <x v="1"/>
    <n v="18"/>
    <x v="6"/>
    <x v="0"/>
    <n v="16"/>
    <x v="14"/>
    <x v="0"/>
    <x v="505"/>
    <x v="0"/>
    <s v="Yes"/>
    <x v="103"/>
    <n v="4.95"/>
    <n v="3.5"/>
    <s v="Good"/>
    <x v="1"/>
    <x v="0"/>
  </r>
  <r>
    <x v="507"/>
    <x v="0"/>
    <n v="16"/>
    <x v="2"/>
    <x v="1"/>
    <n v="12"/>
    <x v="35"/>
    <x v="3"/>
    <x v="506"/>
    <x v="0"/>
    <s v="Yes"/>
    <x v="93"/>
    <n v="3.98"/>
    <n v="4.6100000000000003"/>
    <s v="Excellent"/>
    <x v="0"/>
    <x v="1"/>
  </r>
  <r>
    <x v="508"/>
    <x v="1"/>
    <n v="18"/>
    <x v="1"/>
    <x v="1"/>
    <n v="12"/>
    <x v="7"/>
    <x v="1"/>
    <x v="507"/>
    <x v="1"/>
    <s v="No"/>
    <x v="68"/>
    <n v="5"/>
    <n v="4.53"/>
    <s v="Excellent"/>
    <x v="0"/>
    <x v="0"/>
  </r>
  <r>
    <x v="509"/>
    <x v="1"/>
    <n v="18"/>
    <x v="1"/>
    <x v="1"/>
    <n v="25"/>
    <x v="36"/>
    <x v="0"/>
    <x v="508"/>
    <x v="0"/>
    <s v="Yes"/>
    <x v="38"/>
    <n v="4.99"/>
    <n v="3.77"/>
    <s v="Good"/>
    <x v="1"/>
    <x v="0"/>
  </r>
  <r>
    <x v="510"/>
    <x v="0"/>
    <n v="17"/>
    <x v="1"/>
    <x v="0"/>
    <n v="17"/>
    <x v="9"/>
    <x v="3"/>
    <x v="509"/>
    <x v="1"/>
    <s v="No"/>
    <x v="186"/>
    <n v="3.79"/>
    <n v="4.91"/>
    <s v="Excellent"/>
    <x v="1"/>
    <x v="0"/>
  </r>
  <r>
    <x v="511"/>
    <x v="1"/>
    <n v="17"/>
    <x v="6"/>
    <x v="1"/>
    <n v="16"/>
    <x v="16"/>
    <x v="0"/>
    <x v="510"/>
    <x v="0"/>
    <s v="No"/>
    <x v="117"/>
    <n v="3.97"/>
    <n v="4.82"/>
    <s v="Excellent"/>
    <x v="1"/>
    <x v="0"/>
  </r>
  <r>
    <x v="512"/>
    <x v="0"/>
    <n v="15"/>
    <x v="2"/>
    <x v="1"/>
    <n v="20"/>
    <x v="29"/>
    <x v="1"/>
    <x v="511"/>
    <x v="1"/>
    <s v="Yes"/>
    <x v="91"/>
    <n v="4.2300000000000004"/>
    <n v="4.92"/>
    <s v="Excellent"/>
    <x v="1"/>
    <x v="0"/>
  </r>
  <r>
    <x v="513"/>
    <x v="1"/>
    <n v="15"/>
    <x v="3"/>
    <x v="0"/>
    <n v="5"/>
    <x v="33"/>
    <x v="1"/>
    <x v="512"/>
    <x v="0"/>
    <s v="Yes"/>
    <x v="97"/>
    <n v="4.5"/>
    <n v="3.86"/>
    <s v="Good"/>
    <x v="0"/>
    <x v="0"/>
  </r>
  <r>
    <x v="514"/>
    <x v="1"/>
    <n v="18"/>
    <x v="6"/>
    <x v="0"/>
    <n v="17"/>
    <x v="26"/>
    <x v="0"/>
    <x v="513"/>
    <x v="1"/>
    <s v="Yes"/>
    <x v="42"/>
    <n v="4.29"/>
    <n v="3.39"/>
    <s v="Average"/>
    <x v="1"/>
    <x v="0"/>
  </r>
  <r>
    <x v="515"/>
    <x v="0"/>
    <n v="16"/>
    <x v="1"/>
    <x v="1"/>
    <n v="11"/>
    <x v="3"/>
    <x v="2"/>
    <x v="514"/>
    <x v="0"/>
    <s v="Yes"/>
    <x v="42"/>
    <n v="4.95"/>
    <n v="4.25"/>
    <s v="Good"/>
    <x v="0"/>
    <x v="0"/>
  </r>
  <r>
    <x v="516"/>
    <x v="1"/>
    <n v="17"/>
    <x v="0"/>
    <x v="1"/>
    <n v="9"/>
    <x v="13"/>
    <x v="0"/>
    <x v="515"/>
    <x v="1"/>
    <s v="No"/>
    <x v="34"/>
    <n v="4.59"/>
    <n v="4.37"/>
    <s v="Good"/>
    <x v="0"/>
    <x v="0"/>
  </r>
  <r>
    <x v="517"/>
    <x v="1"/>
    <n v="17"/>
    <x v="2"/>
    <x v="1"/>
    <n v="12"/>
    <x v="21"/>
    <x v="3"/>
    <x v="516"/>
    <x v="1"/>
    <s v="Yes"/>
    <x v="18"/>
    <n v="3.82"/>
    <n v="3.25"/>
    <s v="Average"/>
    <x v="0"/>
    <x v="1"/>
  </r>
  <r>
    <x v="518"/>
    <x v="1"/>
    <n v="18"/>
    <x v="2"/>
    <x v="0"/>
    <n v="29"/>
    <x v="20"/>
    <x v="2"/>
    <x v="517"/>
    <x v="0"/>
    <s v="No"/>
    <x v="61"/>
    <n v="3.66"/>
    <n v="4.57"/>
    <s v="Excellent"/>
    <x v="1"/>
    <x v="0"/>
  </r>
  <r>
    <x v="519"/>
    <x v="1"/>
    <n v="15"/>
    <x v="5"/>
    <x v="1"/>
    <n v="18"/>
    <x v="27"/>
    <x v="3"/>
    <x v="518"/>
    <x v="1"/>
    <s v="Yes"/>
    <x v="69"/>
    <n v="4.53"/>
    <n v="3.04"/>
    <s v="Average"/>
    <x v="1"/>
    <x v="1"/>
  </r>
  <r>
    <x v="520"/>
    <x v="1"/>
    <n v="16"/>
    <x v="5"/>
    <x v="1"/>
    <n v="27"/>
    <x v="33"/>
    <x v="0"/>
    <x v="519"/>
    <x v="0"/>
    <s v="Yes"/>
    <x v="42"/>
    <n v="3.74"/>
    <n v="3.97"/>
    <s v="Good"/>
    <x v="1"/>
    <x v="0"/>
  </r>
  <r>
    <x v="521"/>
    <x v="0"/>
    <n v="15"/>
    <x v="7"/>
    <x v="1"/>
    <n v="17"/>
    <x v="22"/>
    <x v="2"/>
    <x v="520"/>
    <x v="0"/>
    <s v="Yes"/>
    <x v="0"/>
    <n v="4.68"/>
    <n v="3.66"/>
    <s v="Good"/>
    <x v="1"/>
    <x v="1"/>
  </r>
  <r>
    <x v="522"/>
    <x v="1"/>
    <n v="15"/>
    <x v="3"/>
    <x v="0"/>
    <n v="19"/>
    <x v="23"/>
    <x v="3"/>
    <x v="521"/>
    <x v="0"/>
    <s v="Yes"/>
    <x v="16"/>
    <n v="3.97"/>
    <n v="4.4800000000000004"/>
    <s v="Good"/>
    <x v="1"/>
    <x v="0"/>
  </r>
  <r>
    <x v="523"/>
    <x v="0"/>
    <n v="15"/>
    <x v="3"/>
    <x v="0"/>
    <n v="27"/>
    <x v="35"/>
    <x v="0"/>
    <x v="522"/>
    <x v="0"/>
    <s v="No"/>
    <x v="160"/>
    <n v="3.99"/>
    <n v="3.63"/>
    <s v="Good"/>
    <x v="1"/>
    <x v="1"/>
  </r>
  <r>
    <x v="524"/>
    <x v="1"/>
    <n v="15"/>
    <x v="4"/>
    <x v="1"/>
    <n v="21"/>
    <x v="11"/>
    <x v="0"/>
    <x v="523"/>
    <x v="0"/>
    <s v="No"/>
    <x v="168"/>
    <n v="3.52"/>
    <n v="4.6500000000000004"/>
    <s v="Excellent"/>
    <x v="1"/>
    <x v="0"/>
  </r>
  <r>
    <x v="525"/>
    <x v="0"/>
    <n v="17"/>
    <x v="3"/>
    <x v="1"/>
    <n v="19"/>
    <x v="36"/>
    <x v="2"/>
    <x v="524"/>
    <x v="1"/>
    <s v="Yes"/>
    <x v="187"/>
    <n v="4.55"/>
    <n v="4.1900000000000004"/>
    <s v="Good"/>
    <x v="1"/>
    <x v="1"/>
  </r>
  <r>
    <x v="526"/>
    <x v="0"/>
    <n v="17"/>
    <x v="5"/>
    <x v="0"/>
    <n v="24"/>
    <x v="34"/>
    <x v="0"/>
    <x v="525"/>
    <x v="0"/>
    <s v="No"/>
    <x v="182"/>
    <n v="3.67"/>
    <n v="4.59"/>
    <s v="Excellent"/>
    <x v="1"/>
    <x v="0"/>
  </r>
  <r>
    <x v="527"/>
    <x v="1"/>
    <n v="15"/>
    <x v="6"/>
    <x v="0"/>
    <n v="22"/>
    <x v="22"/>
    <x v="1"/>
    <x v="526"/>
    <x v="0"/>
    <s v="No"/>
    <x v="151"/>
    <n v="4.66"/>
    <n v="4.9800000000000004"/>
    <s v="Excellent"/>
    <x v="1"/>
    <x v="0"/>
  </r>
  <r>
    <x v="528"/>
    <x v="1"/>
    <n v="16"/>
    <x v="3"/>
    <x v="0"/>
    <n v="22"/>
    <x v="7"/>
    <x v="3"/>
    <x v="527"/>
    <x v="0"/>
    <s v="Yes"/>
    <x v="43"/>
    <n v="4.24"/>
    <n v="4.3600000000000003"/>
    <s v="Good"/>
    <x v="1"/>
    <x v="0"/>
  </r>
  <r>
    <x v="529"/>
    <x v="1"/>
    <n v="18"/>
    <x v="5"/>
    <x v="0"/>
    <n v="6"/>
    <x v="36"/>
    <x v="3"/>
    <x v="528"/>
    <x v="0"/>
    <s v="Yes"/>
    <x v="153"/>
    <n v="4.68"/>
    <n v="4.97"/>
    <s v="Excellent"/>
    <x v="0"/>
    <x v="0"/>
  </r>
  <r>
    <x v="530"/>
    <x v="0"/>
    <n v="16"/>
    <x v="7"/>
    <x v="0"/>
    <n v="8"/>
    <x v="7"/>
    <x v="0"/>
    <x v="529"/>
    <x v="0"/>
    <s v="No"/>
    <x v="78"/>
    <n v="4.38"/>
    <n v="3.06"/>
    <s v="Average"/>
    <x v="0"/>
    <x v="1"/>
  </r>
  <r>
    <x v="531"/>
    <x v="1"/>
    <n v="16"/>
    <x v="2"/>
    <x v="0"/>
    <n v="5"/>
    <x v="8"/>
    <x v="0"/>
    <x v="530"/>
    <x v="0"/>
    <s v="No"/>
    <x v="180"/>
    <n v="3.62"/>
    <n v="3.68"/>
    <s v="Good"/>
    <x v="0"/>
    <x v="1"/>
  </r>
  <r>
    <x v="532"/>
    <x v="0"/>
    <n v="16"/>
    <x v="3"/>
    <x v="0"/>
    <n v="8"/>
    <x v="7"/>
    <x v="1"/>
    <x v="531"/>
    <x v="1"/>
    <s v="No"/>
    <x v="32"/>
    <n v="4.6500000000000004"/>
    <n v="3.22"/>
    <s v="Average"/>
    <x v="0"/>
    <x v="1"/>
  </r>
  <r>
    <x v="533"/>
    <x v="0"/>
    <n v="15"/>
    <x v="7"/>
    <x v="0"/>
    <n v="22"/>
    <x v="13"/>
    <x v="2"/>
    <x v="532"/>
    <x v="1"/>
    <s v="No"/>
    <x v="187"/>
    <n v="3.6"/>
    <n v="3.52"/>
    <s v="Good"/>
    <x v="1"/>
    <x v="1"/>
  </r>
  <r>
    <x v="534"/>
    <x v="0"/>
    <n v="17"/>
    <x v="2"/>
    <x v="0"/>
    <n v="9"/>
    <x v="20"/>
    <x v="0"/>
    <x v="533"/>
    <x v="0"/>
    <s v="Yes"/>
    <x v="173"/>
    <n v="4.22"/>
    <n v="4.68"/>
    <s v="Excellent"/>
    <x v="0"/>
    <x v="0"/>
  </r>
  <r>
    <x v="535"/>
    <x v="1"/>
    <n v="16"/>
    <x v="0"/>
    <x v="1"/>
    <n v="23"/>
    <x v="4"/>
    <x v="0"/>
    <x v="534"/>
    <x v="1"/>
    <s v="Yes"/>
    <x v="185"/>
    <n v="3.76"/>
    <n v="3.06"/>
    <s v="Average"/>
    <x v="1"/>
    <x v="1"/>
  </r>
  <r>
    <x v="536"/>
    <x v="1"/>
    <n v="15"/>
    <x v="0"/>
    <x v="1"/>
    <n v="19"/>
    <x v="26"/>
    <x v="0"/>
    <x v="535"/>
    <x v="0"/>
    <s v="No"/>
    <x v="9"/>
    <n v="4.63"/>
    <n v="4.04"/>
    <s v="Good"/>
    <x v="1"/>
    <x v="1"/>
  </r>
  <r>
    <x v="537"/>
    <x v="0"/>
    <n v="16"/>
    <x v="2"/>
    <x v="1"/>
    <n v="12"/>
    <x v="23"/>
    <x v="0"/>
    <x v="536"/>
    <x v="0"/>
    <s v="Yes"/>
    <x v="151"/>
    <n v="4.87"/>
    <n v="4.13"/>
    <s v="Good"/>
    <x v="0"/>
    <x v="0"/>
  </r>
  <r>
    <x v="538"/>
    <x v="0"/>
    <n v="16"/>
    <x v="3"/>
    <x v="0"/>
    <n v="24"/>
    <x v="29"/>
    <x v="3"/>
    <x v="537"/>
    <x v="0"/>
    <s v="No"/>
    <x v="85"/>
    <n v="4.33"/>
    <n v="4.12"/>
    <s v="Good"/>
    <x v="1"/>
    <x v="1"/>
  </r>
  <r>
    <x v="539"/>
    <x v="1"/>
    <n v="15"/>
    <x v="4"/>
    <x v="1"/>
    <n v="21"/>
    <x v="30"/>
    <x v="0"/>
    <x v="538"/>
    <x v="0"/>
    <s v="No"/>
    <x v="86"/>
    <n v="4.29"/>
    <n v="3.95"/>
    <s v="Good"/>
    <x v="1"/>
    <x v="0"/>
  </r>
  <r>
    <x v="540"/>
    <x v="0"/>
    <n v="17"/>
    <x v="5"/>
    <x v="0"/>
    <n v="5"/>
    <x v="38"/>
    <x v="3"/>
    <x v="539"/>
    <x v="0"/>
    <s v="Yes"/>
    <x v="118"/>
    <n v="4.6500000000000004"/>
    <n v="4.58"/>
    <s v="Excellent"/>
    <x v="0"/>
    <x v="0"/>
  </r>
  <r>
    <x v="541"/>
    <x v="1"/>
    <n v="17"/>
    <x v="6"/>
    <x v="0"/>
    <n v="16"/>
    <x v="36"/>
    <x v="0"/>
    <x v="540"/>
    <x v="1"/>
    <s v="No"/>
    <x v="57"/>
    <n v="3.51"/>
    <n v="3.27"/>
    <s v="Average"/>
    <x v="1"/>
    <x v="1"/>
  </r>
  <r>
    <x v="542"/>
    <x v="0"/>
    <n v="18"/>
    <x v="6"/>
    <x v="1"/>
    <n v="23"/>
    <x v="33"/>
    <x v="2"/>
    <x v="541"/>
    <x v="1"/>
    <s v="No"/>
    <x v="188"/>
    <n v="4.88"/>
    <n v="3.62"/>
    <s v="Good"/>
    <x v="1"/>
    <x v="1"/>
  </r>
  <r>
    <x v="543"/>
    <x v="1"/>
    <n v="15"/>
    <x v="1"/>
    <x v="0"/>
    <n v="19"/>
    <x v="5"/>
    <x v="1"/>
    <x v="542"/>
    <x v="1"/>
    <s v="Yes"/>
    <x v="5"/>
    <n v="3.8"/>
    <n v="4.2300000000000004"/>
    <s v="Good"/>
    <x v="1"/>
    <x v="1"/>
  </r>
  <r>
    <x v="544"/>
    <x v="0"/>
    <n v="18"/>
    <x v="2"/>
    <x v="1"/>
    <n v="13"/>
    <x v="24"/>
    <x v="2"/>
    <x v="543"/>
    <x v="1"/>
    <s v="Yes"/>
    <x v="43"/>
    <n v="4.9800000000000004"/>
    <n v="4.38"/>
    <s v="Good"/>
    <x v="0"/>
    <x v="0"/>
  </r>
  <r>
    <x v="545"/>
    <x v="1"/>
    <n v="18"/>
    <x v="6"/>
    <x v="1"/>
    <n v="11"/>
    <x v="37"/>
    <x v="0"/>
    <x v="544"/>
    <x v="0"/>
    <s v="No"/>
    <x v="189"/>
    <n v="4.5999999999999996"/>
    <n v="3.81"/>
    <s v="Good"/>
    <x v="0"/>
    <x v="1"/>
  </r>
  <r>
    <x v="546"/>
    <x v="0"/>
    <n v="18"/>
    <x v="3"/>
    <x v="1"/>
    <n v="6"/>
    <x v="30"/>
    <x v="0"/>
    <x v="545"/>
    <x v="1"/>
    <s v="No"/>
    <x v="165"/>
    <n v="4.66"/>
    <n v="4.75"/>
    <s v="Excellent"/>
    <x v="0"/>
    <x v="0"/>
  </r>
  <r>
    <x v="547"/>
    <x v="1"/>
    <n v="17"/>
    <x v="4"/>
    <x v="0"/>
    <n v="13"/>
    <x v="18"/>
    <x v="0"/>
    <x v="546"/>
    <x v="0"/>
    <s v="Yes"/>
    <x v="92"/>
    <n v="4.4800000000000004"/>
    <n v="3.83"/>
    <s v="Good"/>
    <x v="0"/>
    <x v="1"/>
  </r>
  <r>
    <x v="548"/>
    <x v="1"/>
    <n v="15"/>
    <x v="2"/>
    <x v="1"/>
    <n v="14"/>
    <x v="20"/>
    <x v="2"/>
    <x v="547"/>
    <x v="1"/>
    <s v="No"/>
    <x v="1"/>
    <n v="4.21"/>
    <n v="3.81"/>
    <s v="Good"/>
    <x v="0"/>
    <x v="1"/>
  </r>
  <r>
    <x v="549"/>
    <x v="0"/>
    <n v="18"/>
    <x v="4"/>
    <x v="0"/>
    <n v="6"/>
    <x v="34"/>
    <x v="0"/>
    <x v="548"/>
    <x v="1"/>
    <s v="No"/>
    <x v="155"/>
    <n v="4.3600000000000003"/>
    <n v="3.07"/>
    <s v="Average"/>
    <x v="0"/>
    <x v="1"/>
  </r>
  <r>
    <x v="550"/>
    <x v="0"/>
    <n v="15"/>
    <x v="3"/>
    <x v="1"/>
    <n v="23"/>
    <x v="2"/>
    <x v="2"/>
    <x v="549"/>
    <x v="1"/>
    <s v="Yes"/>
    <x v="172"/>
    <n v="3.57"/>
    <n v="4.0999999999999996"/>
    <s v="Good"/>
    <x v="1"/>
    <x v="0"/>
  </r>
  <r>
    <x v="551"/>
    <x v="1"/>
    <n v="15"/>
    <x v="6"/>
    <x v="1"/>
    <n v="15"/>
    <x v="32"/>
    <x v="3"/>
    <x v="550"/>
    <x v="1"/>
    <s v="Yes"/>
    <x v="36"/>
    <n v="4.4400000000000004"/>
    <n v="4.42"/>
    <s v="Good"/>
    <x v="1"/>
    <x v="1"/>
  </r>
  <r>
    <x v="552"/>
    <x v="0"/>
    <n v="17"/>
    <x v="6"/>
    <x v="1"/>
    <n v="17"/>
    <x v="8"/>
    <x v="1"/>
    <x v="551"/>
    <x v="0"/>
    <s v="Yes"/>
    <x v="120"/>
    <n v="4.4400000000000004"/>
    <n v="3.23"/>
    <s v="Average"/>
    <x v="1"/>
    <x v="0"/>
  </r>
  <r>
    <x v="553"/>
    <x v="1"/>
    <n v="18"/>
    <x v="1"/>
    <x v="0"/>
    <n v="14"/>
    <x v="35"/>
    <x v="1"/>
    <x v="552"/>
    <x v="1"/>
    <s v="Yes"/>
    <x v="29"/>
    <n v="4.84"/>
    <n v="3.61"/>
    <s v="Good"/>
    <x v="0"/>
    <x v="0"/>
  </r>
  <r>
    <x v="554"/>
    <x v="0"/>
    <n v="18"/>
    <x v="6"/>
    <x v="0"/>
    <n v="18"/>
    <x v="3"/>
    <x v="2"/>
    <x v="553"/>
    <x v="1"/>
    <s v="Yes"/>
    <x v="164"/>
    <n v="4.26"/>
    <n v="4.5599999999999996"/>
    <s v="Excellent"/>
    <x v="1"/>
    <x v="0"/>
  </r>
  <r>
    <x v="555"/>
    <x v="1"/>
    <n v="15"/>
    <x v="2"/>
    <x v="0"/>
    <n v="22"/>
    <x v="33"/>
    <x v="3"/>
    <x v="554"/>
    <x v="0"/>
    <s v="Yes"/>
    <x v="48"/>
    <n v="3.62"/>
    <n v="3.73"/>
    <s v="Good"/>
    <x v="1"/>
    <x v="1"/>
  </r>
  <r>
    <x v="556"/>
    <x v="1"/>
    <n v="16"/>
    <x v="3"/>
    <x v="1"/>
    <n v="23"/>
    <x v="38"/>
    <x v="2"/>
    <x v="555"/>
    <x v="0"/>
    <s v="No"/>
    <x v="123"/>
    <n v="3.96"/>
    <n v="3.48"/>
    <s v="Average"/>
    <x v="1"/>
    <x v="0"/>
  </r>
  <r>
    <x v="557"/>
    <x v="1"/>
    <n v="17"/>
    <x v="0"/>
    <x v="1"/>
    <n v="26"/>
    <x v="23"/>
    <x v="3"/>
    <x v="556"/>
    <x v="1"/>
    <s v="No"/>
    <x v="65"/>
    <n v="4.4800000000000004"/>
    <n v="4.34"/>
    <s v="Good"/>
    <x v="1"/>
    <x v="1"/>
  </r>
  <r>
    <x v="558"/>
    <x v="1"/>
    <n v="17"/>
    <x v="3"/>
    <x v="0"/>
    <n v="13"/>
    <x v="6"/>
    <x v="0"/>
    <x v="557"/>
    <x v="0"/>
    <s v="Yes"/>
    <x v="123"/>
    <n v="3.86"/>
    <n v="3.39"/>
    <s v="Average"/>
    <x v="0"/>
    <x v="0"/>
  </r>
  <r>
    <x v="559"/>
    <x v="1"/>
    <n v="17"/>
    <x v="2"/>
    <x v="0"/>
    <n v="29"/>
    <x v="23"/>
    <x v="3"/>
    <x v="558"/>
    <x v="0"/>
    <s v="Yes"/>
    <x v="37"/>
    <n v="3.92"/>
    <n v="4.79"/>
    <s v="Excellent"/>
    <x v="1"/>
    <x v="0"/>
  </r>
  <r>
    <x v="560"/>
    <x v="1"/>
    <n v="17"/>
    <x v="2"/>
    <x v="0"/>
    <n v="11"/>
    <x v="18"/>
    <x v="3"/>
    <x v="559"/>
    <x v="0"/>
    <s v="No"/>
    <x v="156"/>
    <n v="4.7300000000000004"/>
    <n v="3.21"/>
    <s v="Average"/>
    <x v="0"/>
    <x v="1"/>
  </r>
  <r>
    <x v="561"/>
    <x v="0"/>
    <n v="18"/>
    <x v="1"/>
    <x v="0"/>
    <n v="7"/>
    <x v="26"/>
    <x v="3"/>
    <x v="560"/>
    <x v="1"/>
    <s v="No"/>
    <x v="119"/>
    <n v="4.38"/>
    <n v="4.41"/>
    <s v="Good"/>
    <x v="0"/>
    <x v="0"/>
  </r>
  <r>
    <x v="562"/>
    <x v="0"/>
    <n v="18"/>
    <x v="1"/>
    <x v="0"/>
    <n v="24"/>
    <x v="4"/>
    <x v="1"/>
    <x v="561"/>
    <x v="0"/>
    <s v="No"/>
    <x v="44"/>
    <n v="4.26"/>
    <n v="4"/>
    <s v="Good"/>
    <x v="1"/>
    <x v="0"/>
  </r>
  <r>
    <x v="563"/>
    <x v="0"/>
    <n v="16"/>
    <x v="6"/>
    <x v="0"/>
    <n v="10"/>
    <x v="3"/>
    <x v="3"/>
    <x v="562"/>
    <x v="1"/>
    <s v="Yes"/>
    <x v="152"/>
    <n v="3.98"/>
    <n v="4.74"/>
    <s v="Excellent"/>
    <x v="0"/>
    <x v="0"/>
  </r>
  <r>
    <x v="564"/>
    <x v="1"/>
    <n v="17"/>
    <x v="7"/>
    <x v="1"/>
    <n v="25"/>
    <x v="12"/>
    <x v="0"/>
    <x v="563"/>
    <x v="1"/>
    <s v="Yes"/>
    <x v="48"/>
    <n v="4.5999999999999996"/>
    <n v="3.25"/>
    <s v="Average"/>
    <x v="1"/>
    <x v="1"/>
  </r>
  <r>
    <x v="565"/>
    <x v="1"/>
    <n v="17"/>
    <x v="3"/>
    <x v="0"/>
    <n v="6"/>
    <x v="32"/>
    <x v="0"/>
    <x v="564"/>
    <x v="1"/>
    <s v="No"/>
    <x v="9"/>
    <n v="3.93"/>
    <n v="4.3600000000000003"/>
    <s v="Good"/>
    <x v="0"/>
    <x v="0"/>
  </r>
  <r>
    <x v="566"/>
    <x v="1"/>
    <n v="15"/>
    <x v="3"/>
    <x v="1"/>
    <n v="10"/>
    <x v="2"/>
    <x v="0"/>
    <x v="565"/>
    <x v="1"/>
    <s v="Yes"/>
    <x v="16"/>
    <n v="4.6100000000000003"/>
    <n v="4.1399999999999997"/>
    <s v="Good"/>
    <x v="0"/>
    <x v="0"/>
  </r>
  <r>
    <x v="567"/>
    <x v="1"/>
    <n v="18"/>
    <x v="7"/>
    <x v="1"/>
    <n v="7"/>
    <x v="16"/>
    <x v="3"/>
    <x v="566"/>
    <x v="0"/>
    <s v="Yes"/>
    <x v="169"/>
    <n v="3.61"/>
    <n v="3.96"/>
    <s v="Good"/>
    <x v="0"/>
    <x v="1"/>
  </r>
  <r>
    <x v="568"/>
    <x v="0"/>
    <n v="17"/>
    <x v="1"/>
    <x v="0"/>
    <n v="20"/>
    <x v="5"/>
    <x v="2"/>
    <x v="567"/>
    <x v="1"/>
    <s v="Yes"/>
    <x v="76"/>
    <n v="4.8"/>
    <n v="3.98"/>
    <s v="Good"/>
    <x v="1"/>
    <x v="0"/>
  </r>
  <r>
    <x v="569"/>
    <x v="0"/>
    <n v="16"/>
    <x v="6"/>
    <x v="0"/>
    <n v="12"/>
    <x v="18"/>
    <x v="2"/>
    <x v="568"/>
    <x v="0"/>
    <s v="No"/>
    <x v="187"/>
    <n v="4.25"/>
    <n v="4.4400000000000004"/>
    <s v="Good"/>
    <x v="0"/>
    <x v="1"/>
  </r>
  <r>
    <x v="570"/>
    <x v="1"/>
    <n v="16"/>
    <x v="7"/>
    <x v="1"/>
    <n v="6"/>
    <x v="8"/>
    <x v="0"/>
    <x v="569"/>
    <x v="1"/>
    <s v="No"/>
    <x v="144"/>
    <n v="4.16"/>
    <n v="4.88"/>
    <s v="Excellent"/>
    <x v="0"/>
    <x v="0"/>
  </r>
  <r>
    <x v="571"/>
    <x v="0"/>
    <n v="18"/>
    <x v="6"/>
    <x v="0"/>
    <n v="21"/>
    <x v="32"/>
    <x v="1"/>
    <x v="570"/>
    <x v="0"/>
    <s v="Yes"/>
    <x v="130"/>
    <n v="4.42"/>
    <n v="3.18"/>
    <s v="Average"/>
    <x v="1"/>
    <x v="0"/>
  </r>
  <r>
    <x v="572"/>
    <x v="0"/>
    <n v="16"/>
    <x v="6"/>
    <x v="0"/>
    <n v="13"/>
    <x v="33"/>
    <x v="2"/>
    <x v="571"/>
    <x v="1"/>
    <s v="Yes"/>
    <x v="95"/>
    <n v="4.4400000000000004"/>
    <n v="3.04"/>
    <s v="Average"/>
    <x v="0"/>
    <x v="1"/>
  </r>
  <r>
    <x v="573"/>
    <x v="1"/>
    <n v="16"/>
    <x v="6"/>
    <x v="1"/>
    <n v="16"/>
    <x v="18"/>
    <x v="3"/>
    <x v="572"/>
    <x v="0"/>
    <s v="Yes"/>
    <x v="44"/>
    <n v="3.7"/>
    <n v="4.6100000000000003"/>
    <s v="Excellent"/>
    <x v="1"/>
    <x v="0"/>
  </r>
  <r>
    <x v="574"/>
    <x v="0"/>
    <n v="18"/>
    <x v="5"/>
    <x v="1"/>
    <n v="7"/>
    <x v="5"/>
    <x v="2"/>
    <x v="573"/>
    <x v="1"/>
    <s v="Yes"/>
    <x v="175"/>
    <n v="4.63"/>
    <n v="3.22"/>
    <s v="Average"/>
    <x v="0"/>
    <x v="1"/>
  </r>
  <r>
    <x v="575"/>
    <x v="1"/>
    <n v="17"/>
    <x v="2"/>
    <x v="1"/>
    <n v="15"/>
    <x v="37"/>
    <x v="0"/>
    <x v="574"/>
    <x v="1"/>
    <s v="Yes"/>
    <x v="171"/>
    <n v="3.91"/>
    <n v="4.97"/>
    <s v="Excellent"/>
    <x v="1"/>
    <x v="0"/>
  </r>
  <r>
    <x v="576"/>
    <x v="0"/>
    <n v="17"/>
    <x v="6"/>
    <x v="0"/>
    <n v="5"/>
    <x v="37"/>
    <x v="1"/>
    <x v="575"/>
    <x v="0"/>
    <s v="No"/>
    <x v="6"/>
    <n v="4.8600000000000003"/>
    <n v="4.24"/>
    <s v="Good"/>
    <x v="0"/>
    <x v="0"/>
  </r>
  <r>
    <x v="577"/>
    <x v="1"/>
    <n v="16"/>
    <x v="5"/>
    <x v="1"/>
    <n v="27"/>
    <x v="30"/>
    <x v="2"/>
    <x v="576"/>
    <x v="1"/>
    <s v="Yes"/>
    <x v="84"/>
    <n v="4.7300000000000004"/>
    <n v="4.3"/>
    <s v="Good"/>
    <x v="1"/>
    <x v="0"/>
  </r>
  <r>
    <x v="578"/>
    <x v="1"/>
    <n v="16"/>
    <x v="1"/>
    <x v="0"/>
    <n v="17"/>
    <x v="22"/>
    <x v="2"/>
    <x v="577"/>
    <x v="1"/>
    <s v="Yes"/>
    <x v="186"/>
    <n v="4.0199999999999996"/>
    <n v="3.4"/>
    <s v="Average"/>
    <x v="1"/>
    <x v="1"/>
  </r>
  <r>
    <x v="579"/>
    <x v="1"/>
    <n v="17"/>
    <x v="7"/>
    <x v="1"/>
    <n v="19"/>
    <x v="1"/>
    <x v="0"/>
    <x v="578"/>
    <x v="1"/>
    <s v="Yes"/>
    <x v="190"/>
    <n v="4.71"/>
    <n v="3.48"/>
    <s v="Average"/>
    <x v="1"/>
    <x v="1"/>
  </r>
  <r>
    <x v="580"/>
    <x v="1"/>
    <n v="18"/>
    <x v="2"/>
    <x v="1"/>
    <n v="9"/>
    <x v="33"/>
    <x v="1"/>
    <x v="579"/>
    <x v="0"/>
    <s v="No"/>
    <x v="191"/>
    <n v="4.03"/>
    <n v="4.32"/>
    <s v="Good"/>
    <x v="0"/>
    <x v="0"/>
  </r>
  <r>
    <x v="581"/>
    <x v="0"/>
    <n v="16"/>
    <x v="0"/>
    <x v="1"/>
    <n v="25"/>
    <x v="36"/>
    <x v="1"/>
    <x v="580"/>
    <x v="1"/>
    <s v="No"/>
    <x v="107"/>
    <n v="3.65"/>
    <n v="4.82"/>
    <s v="Excellent"/>
    <x v="1"/>
    <x v="0"/>
  </r>
  <r>
    <x v="582"/>
    <x v="1"/>
    <n v="15"/>
    <x v="7"/>
    <x v="0"/>
    <n v="21"/>
    <x v="13"/>
    <x v="0"/>
    <x v="581"/>
    <x v="1"/>
    <s v="Yes"/>
    <x v="11"/>
    <n v="4.9400000000000004"/>
    <n v="4.96"/>
    <s v="Excellent"/>
    <x v="1"/>
    <x v="0"/>
  </r>
  <r>
    <x v="583"/>
    <x v="1"/>
    <n v="18"/>
    <x v="2"/>
    <x v="0"/>
    <n v="29"/>
    <x v="6"/>
    <x v="3"/>
    <x v="582"/>
    <x v="0"/>
    <s v="No"/>
    <x v="85"/>
    <n v="4.4800000000000004"/>
    <n v="3.4"/>
    <s v="Average"/>
    <x v="1"/>
    <x v="1"/>
  </r>
  <r>
    <x v="584"/>
    <x v="1"/>
    <n v="16"/>
    <x v="0"/>
    <x v="1"/>
    <n v="27"/>
    <x v="3"/>
    <x v="2"/>
    <x v="583"/>
    <x v="0"/>
    <s v="No"/>
    <x v="192"/>
    <n v="4.18"/>
    <n v="3.27"/>
    <s v="Average"/>
    <x v="1"/>
    <x v="1"/>
  </r>
  <r>
    <x v="585"/>
    <x v="0"/>
    <n v="16"/>
    <x v="7"/>
    <x v="1"/>
    <n v="28"/>
    <x v="12"/>
    <x v="3"/>
    <x v="584"/>
    <x v="0"/>
    <s v="No"/>
    <x v="59"/>
    <n v="4.0999999999999996"/>
    <n v="3.11"/>
    <s v="Average"/>
    <x v="1"/>
    <x v="1"/>
  </r>
  <r>
    <x v="586"/>
    <x v="1"/>
    <n v="15"/>
    <x v="2"/>
    <x v="1"/>
    <n v="29"/>
    <x v="38"/>
    <x v="2"/>
    <x v="585"/>
    <x v="0"/>
    <s v="No"/>
    <x v="37"/>
    <n v="3.99"/>
    <n v="4.74"/>
    <s v="Excellent"/>
    <x v="1"/>
    <x v="0"/>
  </r>
  <r>
    <x v="587"/>
    <x v="0"/>
    <n v="15"/>
    <x v="7"/>
    <x v="0"/>
    <n v="10"/>
    <x v="2"/>
    <x v="2"/>
    <x v="201"/>
    <x v="0"/>
    <s v="No"/>
    <x v="101"/>
    <n v="4.97"/>
    <n v="3.59"/>
    <s v="Good"/>
    <x v="0"/>
    <x v="1"/>
  </r>
  <r>
    <x v="588"/>
    <x v="1"/>
    <n v="17"/>
    <x v="7"/>
    <x v="1"/>
    <n v="25"/>
    <x v="34"/>
    <x v="3"/>
    <x v="586"/>
    <x v="1"/>
    <s v="No"/>
    <x v="19"/>
    <n v="3.7"/>
    <n v="3"/>
    <s v="Average"/>
    <x v="1"/>
    <x v="1"/>
  </r>
  <r>
    <x v="589"/>
    <x v="0"/>
    <n v="18"/>
    <x v="0"/>
    <x v="0"/>
    <n v="26"/>
    <x v="5"/>
    <x v="0"/>
    <x v="587"/>
    <x v="1"/>
    <s v="Yes"/>
    <x v="43"/>
    <n v="3.97"/>
    <n v="3.45"/>
    <s v="Average"/>
    <x v="1"/>
    <x v="0"/>
  </r>
  <r>
    <x v="590"/>
    <x v="0"/>
    <n v="18"/>
    <x v="7"/>
    <x v="1"/>
    <n v="15"/>
    <x v="36"/>
    <x v="0"/>
    <x v="588"/>
    <x v="1"/>
    <s v="No"/>
    <x v="143"/>
    <n v="4.2300000000000004"/>
    <n v="3.68"/>
    <s v="Good"/>
    <x v="1"/>
    <x v="1"/>
  </r>
  <r>
    <x v="591"/>
    <x v="1"/>
    <n v="17"/>
    <x v="7"/>
    <x v="1"/>
    <n v="22"/>
    <x v="35"/>
    <x v="2"/>
    <x v="589"/>
    <x v="0"/>
    <s v="No"/>
    <x v="113"/>
    <n v="4.22"/>
    <n v="4.9800000000000004"/>
    <s v="Excellent"/>
    <x v="1"/>
    <x v="0"/>
  </r>
  <r>
    <x v="592"/>
    <x v="0"/>
    <n v="18"/>
    <x v="0"/>
    <x v="1"/>
    <n v="8"/>
    <x v="8"/>
    <x v="0"/>
    <x v="590"/>
    <x v="1"/>
    <s v="Yes"/>
    <x v="76"/>
    <n v="4.21"/>
    <n v="4.05"/>
    <s v="Good"/>
    <x v="0"/>
    <x v="0"/>
  </r>
  <r>
    <x v="593"/>
    <x v="1"/>
    <n v="18"/>
    <x v="1"/>
    <x v="1"/>
    <n v="7"/>
    <x v="12"/>
    <x v="2"/>
    <x v="591"/>
    <x v="0"/>
    <s v="Yes"/>
    <x v="140"/>
    <n v="3.76"/>
    <n v="3.41"/>
    <s v="Average"/>
    <x v="0"/>
    <x v="1"/>
  </r>
  <r>
    <x v="594"/>
    <x v="1"/>
    <n v="18"/>
    <x v="6"/>
    <x v="1"/>
    <n v="17"/>
    <x v="1"/>
    <x v="0"/>
    <x v="592"/>
    <x v="0"/>
    <s v="Yes"/>
    <x v="193"/>
    <n v="3.72"/>
    <n v="3.67"/>
    <s v="Good"/>
    <x v="1"/>
    <x v="0"/>
  </r>
  <r>
    <x v="595"/>
    <x v="1"/>
    <n v="18"/>
    <x v="3"/>
    <x v="1"/>
    <n v="27"/>
    <x v="7"/>
    <x v="2"/>
    <x v="593"/>
    <x v="1"/>
    <s v="Yes"/>
    <x v="27"/>
    <n v="3.88"/>
    <n v="3.66"/>
    <s v="Good"/>
    <x v="1"/>
    <x v="0"/>
  </r>
  <r>
    <x v="596"/>
    <x v="0"/>
    <n v="18"/>
    <x v="4"/>
    <x v="0"/>
    <n v="13"/>
    <x v="31"/>
    <x v="0"/>
    <x v="594"/>
    <x v="0"/>
    <s v="No"/>
    <x v="120"/>
    <n v="4.87"/>
    <n v="3.04"/>
    <s v="Average"/>
    <x v="0"/>
    <x v="1"/>
  </r>
  <r>
    <x v="597"/>
    <x v="0"/>
    <n v="15"/>
    <x v="5"/>
    <x v="1"/>
    <n v="25"/>
    <x v="11"/>
    <x v="1"/>
    <x v="595"/>
    <x v="0"/>
    <s v="No"/>
    <x v="112"/>
    <n v="3.67"/>
    <n v="3.27"/>
    <s v="Average"/>
    <x v="1"/>
    <x v="0"/>
  </r>
  <r>
    <x v="598"/>
    <x v="1"/>
    <n v="18"/>
    <x v="4"/>
    <x v="0"/>
    <n v="10"/>
    <x v="25"/>
    <x v="3"/>
    <x v="596"/>
    <x v="1"/>
    <s v="No"/>
    <x v="151"/>
    <n v="4.6399999999999997"/>
    <n v="4.3899999999999997"/>
    <s v="Good"/>
    <x v="0"/>
    <x v="0"/>
  </r>
  <r>
    <x v="599"/>
    <x v="1"/>
    <n v="15"/>
    <x v="4"/>
    <x v="1"/>
    <n v="16"/>
    <x v="37"/>
    <x v="1"/>
    <x v="597"/>
    <x v="0"/>
    <s v="No"/>
    <x v="45"/>
    <n v="4.6399999999999997"/>
    <n v="3.24"/>
    <s v="Average"/>
    <x v="1"/>
    <x v="1"/>
  </r>
  <r>
    <x v="600"/>
    <x v="0"/>
    <n v="18"/>
    <x v="2"/>
    <x v="1"/>
    <n v="6"/>
    <x v="24"/>
    <x v="3"/>
    <x v="598"/>
    <x v="0"/>
    <s v="Yes"/>
    <x v="82"/>
    <n v="4.71"/>
    <n v="3.46"/>
    <s v="Average"/>
    <x v="0"/>
    <x v="0"/>
  </r>
  <r>
    <x v="601"/>
    <x v="1"/>
    <n v="17"/>
    <x v="6"/>
    <x v="0"/>
    <n v="7"/>
    <x v="39"/>
    <x v="3"/>
    <x v="599"/>
    <x v="1"/>
    <s v="No"/>
    <x v="188"/>
    <n v="4.83"/>
    <n v="3.7"/>
    <s v="Good"/>
    <x v="0"/>
    <x v="1"/>
  </r>
  <r>
    <x v="602"/>
    <x v="1"/>
    <n v="16"/>
    <x v="2"/>
    <x v="1"/>
    <n v="7"/>
    <x v="26"/>
    <x v="2"/>
    <x v="600"/>
    <x v="0"/>
    <s v="No"/>
    <x v="12"/>
    <n v="3.89"/>
    <n v="4.5199999999999996"/>
    <s v="Excellent"/>
    <x v="0"/>
    <x v="0"/>
  </r>
  <r>
    <x v="603"/>
    <x v="1"/>
    <n v="15"/>
    <x v="6"/>
    <x v="0"/>
    <n v="16"/>
    <x v="31"/>
    <x v="3"/>
    <x v="601"/>
    <x v="0"/>
    <s v="Yes"/>
    <x v="77"/>
    <n v="3.84"/>
    <n v="4.16"/>
    <s v="Good"/>
    <x v="1"/>
    <x v="1"/>
  </r>
  <r>
    <x v="604"/>
    <x v="0"/>
    <n v="18"/>
    <x v="0"/>
    <x v="0"/>
    <n v="19"/>
    <x v="0"/>
    <x v="1"/>
    <x v="602"/>
    <x v="1"/>
    <s v="No"/>
    <x v="120"/>
    <n v="4.2"/>
    <n v="4.38"/>
    <s v="Good"/>
    <x v="1"/>
    <x v="0"/>
  </r>
  <r>
    <x v="605"/>
    <x v="0"/>
    <n v="17"/>
    <x v="0"/>
    <x v="1"/>
    <n v="13"/>
    <x v="29"/>
    <x v="1"/>
    <x v="603"/>
    <x v="1"/>
    <s v="No"/>
    <x v="70"/>
    <n v="3.9"/>
    <n v="4.13"/>
    <s v="Good"/>
    <x v="0"/>
    <x v="1"/>
  </r>
  <r>
    <x v="606"/>
    <x v="0"/>
    <n v="16"/>
    <x v="3"/>
    <x v="0"/>
    <n v="27"/>
    <x v="24"/>
    <x v="0"/>
    <x v="604"/>
    <x v="1"/>
    <s v="No"/>
    <x v="139"/>
    <n v="4.5999999999999996"/>
    <n v="4.37"/>
    <s v="Good"/>
    <x v="1"/>
    <x v="0"/>
  </r>
  <r>
    <x v="607"/>
    <x v="1"/>
    <n v="15"/>
    <x v="6"/>
    <x v="0"/>
    <n v="12"/>
    <x v="0"/>
    <x v="1"/>
    <x v="605"/>
    <x v="1"/>
    <s v="No"/>
    <x v="82"/>
    <n v="4.45"/>
    <n v="3.01"/>
    <s v="Average"/>
    <x v="0"/>
    <x v="0"/>
  </r>
  <r>
    <x v="608"/>
    <x v="1"/>
    <n v="16"/>
    <x v="7"/>
    <x v="1"/>
    <n v="15"/>
    <x v="21"/>
    <x v="0"/>
    <x v="606"/>
    <x v="0"/>
    <s v="Yes"/>
    <x v="53"/>
    <n v="4.8099999999999996"/>
    <n v="4.8600000000000003"/>
    <s v="Excellent"/>
    <x v="1"/>
    <x v="0"/>
  </r>
  <r>
    <x v="609"/>
    <x v="1"/>
    <n v="17"/>
    <x v="1"/>
    <x v="0"/>
    <n v="20"/>
    <x v="14"/>
    <x v="3"/>
    <x v="607"/>
    <x v="0"/>
    <s v="Yes"/>
    <x v="91"/>
    <n v="3.62"/>
    <n v="3.22"/>
    <s v="Average"/>
    <x v="1"/>
    <x v="1"/>
  </r>
  <r>
    <x v="610"/>
    <x v="0"/>
    <n v="15"/>
    <x v="3"/>
    <x v="1"/>
    <n v="29"/>
    <x v="4"/>
    <x v="1"/>
    <x v="608"/>
    <x v="1"/>
    <s v="Yes"/>
    <x v="179"/>
    <n v="4.87"/>
    <n v="3.81"/>
    <s v="Good"/>
    <x v="1"/>
    <x v="0"/>
  </r>
  <r>
    <x v="611"/>
    <x v="1"/>
    <n v="16"/>
    <x v="3"/>
    <x v="1"/>
    <n v="26"/>
    <x v="33"/>
    <x v="3"/>
    <x v="403"/>
    <x v="0"/>
    <s v="Yes"/>
    <x v="177"/>
    <n v="3.94"/>
    <n v="4.54"/>
    <s v="Excellent"/>
    <x v="1"/>
    <x v="0"/>
  </r>
  <r>
    <x v="612"/>
    <x v="1"/>
    <n v="18"/>
    <x v="7"/>
    <x v="1"/>
    <n v="8"/>
    <x v="14"/>
    <x v="1"/>
    <x v="120"/>
    <x v="0"/>
    <s v="Yes"/>
    <x v="169"/>
    <n v="4.24"/>
    <n v="3.87"/>
    <s v="Good"/>
    <x v="0"/>
    <x v="1"/>
  </r>
  <r>
    <x v="613"/>
    <x v="1"/>
    <n v="15"/>
    <x v="1"/>
    <x v="1"/>
    <n v="5"/>
    <x v="22"/>
    <x v="1"/>
    <x v="609"/>
    <x v="1"/>
    <s v="No"/>
    <x v="75"/>
    <n v="4.16"/>
    <n v="4.8899999999999997"/>
    <s v="Excellent"/>
    <x v="0"/>
    <x v="0"/>
  </r>
  <r>
    <x v="614"/>
    <x v="1"/>
    <n v="16"/>
    <x v="2"/>
    <x v="0"/>
    <n v="28"/>
    <x v="8"/>
    <x v="0"/>
    <x v="610"/>
    <x v="1"/>
    <s v="No"/>
    <x v="118"/>
    <n v="4.6399999999999997"/>
    <n v="3.94"/>
    <s v="Good"/>
    <x v="1"/>
    <x v="0"/>
  </r>
  <r>
    <x v="615"/>
    <x v="0"/>
    <n v="17"/>
    <x v="1"/>
    <x v="1"/>
    <n v="11"/>
    <x v="18"/>
    <x v="3"/>
    <x v="611"/>
    <x v="0"/>
    <s v="Yes"/>
    <x v="72"/>
    <n v="4.13"/>
    <n v="4.75"/>
    <s v="Excellent"/>
    <x v="0"/>
    <x v="0"/>
  </r>
  <r>
    <x v="616"/>
    <x v="0"/>
    <n v="17"/>
    <x v="2"/>
    <x v="1"/>
    <n v="6"/>
    <x v="17"/>
    <x v="1"/>
    <x v="612"/>
    <x v="1"/>
    <s v="Yes"/>
    <x v="119"/>
    <n v="4.92"/>
    <n v="4.62"/>
    <s v="Excellent"/>
    <x v="0"/>
    <x v="0"/>
  </r>
  <r>
    <x v="617"/>
    <x v="1"/>
    <n v="15"/>
    <x v="0"/>
    <x v="0"/>
    <n v="28"/>
    <x v="29"/>
    <x v="2"/>
    <x v="613"/>
    <x v="1"/>
    <s v="Yes"/>
    <x v="144"/>
    <n v="4.8499999999999996"/>
    <n v="4.96"/>
    <s v="Excellent"/>
    <x v="1"/>
    <x v="0"/>
  </r>
  <r>
    <x v="618"/>
    <x v="0"/>
    <n v="16"/>
    <x v="4"/>
    <x v="1"/>
    <n v="9"/>
    <x v="33"/>
    <x v="3"/>
    <x v="614"/>
    <x v="1"/>
    <s v="No"/>
    <x v="55"/>
    <n v="4.8099999999999996"/>
    <n v="4.8499999999999996"/>
    <s v="Excellent"/>
    <x v="0"/>
    <x v="0"/>
  </r>
  <r>
    <x v="619"/>
    <x v="0"/>
    <n v="15"/>
    <x v="0"/>
    <x v="1"/>
    <n v="11"/>
    <x v="22"/>
    <x v="3"/>
    <x v="615"/>
    <x v="0"/>
    <s v="Yes"/>
    <x v="137"/>
    <n v="3.61"/>
    <n v="4.8"/>
    <s v="Excellent"/>
    <x v="0"/>
    <x v="0"/>
  </r>
  <r>
    <x v="620"/>
    <x v="1"/>
    <n v="15"/>
    <x v="0"/>
    <x v="0"/>
    <n v="8"/>
    <x v="32"/>
    <x v="3"/>
    <x v="616"/>
    <x v="1"/>
    <s v="No"/>
    <x v="80"/>
    <n v="4.78"/>
    <n v="4.46"/>
    <s v="Good"/>
    <x v="0"/>
    <x v="1"/>
  </r>
  <r>
    <x v="621"/>
    <x v="1"/>
    <n v="16"/>
    <x v="4"/>
    <x v="0"/>
    <n v="9"/>
    <x v="36"/>
    <x v="0"/>
    <x v="617"/>
    <x v="0"/>
    <s v="No"/>
    <x v="10"/>
    <n v="4.67"/>
    <n v="3.73"/>
    <s v="Good"/>
    <x v="0"/>
    <x v="0"/>
  </r>
  <r>
    <x v="622"/>
    <x v="0"/>
    <n v="16"/>
    <x v="1"/>
    <x v="0"/>
    <n v="28"/>
    <x v="28"/>
    <x v="2"/>
    <x v="618"/>
    <x v="0"/>
    <s v="No"/>
    <x v="117"/>
    <n v="3.66"/>
    <n v="3.21"/>
    <s v="Average"/>
    <x v="1"/>
    <x v="1"/>
  </r>
  <r>
    <x v="623"/>
    <x v="1"/>
    <n v="18"/>
    <x v="3"/>
    <x v="0"/>
    <n v="5"/>
    <x v="1"/>
    <x v="3"/>
    <x v="619"/>
    <x v="0"/>
    <s v="No"/>
    <x v="91"/>
    <n v="3.66"/>
    <n v="4.38"/>
    <s v="Good"/>
    <x v="0"/>
    <x v="0"/>
  </r>
  <r>
    <x v="624"/>
    <x v="0"/>
    <n v="16"/>
    <x v="1"/>
    <x v="0"/>
    <n v="5"/>
    <x v="5"/>
    <x v="1"/>
    <x v="620"/>
    <x v="1"/>
    <s v="Yes"/>
    <x v="175"/>
    <n v="3.65"/>
    <n v="4.96"/>
    <s v="Excellent"/>
    <x v="0"/>
    <x v="0"/>
  </r>
  <r>
    <x v="625"/>
    <x v="1"/>
    <n v="17"/>
    <x v="2"/>
    <x v="0"/>
    <n v="19"/>
    <x v="30"/>
    <x v="1"/>
    <x v="621"/>
    <x v="1"/>
    <s v="No"/>
    <x v="76"/>
    <n v="3.52"/>
    <n v="4.45"/>
    <s v="Good"/>
    <x v="1"/>
    <x v="0"/>
  </r>
  <r>
    <x v="626"/>
    <x v="0"/>
    <n v="15"/>
    <x v="7"/>
    <x v="0"/>
    <n v="24"/>
    <x v="3"/>
    <x v="0"/>
    <x v="622"/>
    <x v="1"/>
    <s v="No"/>
    <x v="132"/>
    <n v="4.32"/>
    <n v="4.8600000000000003"/>
    <s v="Excellent"/>
    <x v="1"/>
    <x v="0"/>
  </r>
  <r>
    <x v="627"/>
    <x v="1"/>
    <n v="15"/>
    <x v="2"/>
    <x v="1"/>
    <n v="23"/>
    <x v="11"/>
    <x v="1"/>
    <x v="623"/>
    <x v="1"/>
    <s v="Yes"/>
    <x v="140"/>
    <n v="4.96"/>
    <n v="4.6100000000000003"/>
    <s v="Excellent"/>
    <x v="1"/>
    <x v="0"/>
  </r>
  <r>
    <x v="628"/>
    <x v="0"/>
    <n v="17"/>
    <x v="7"/>
    <x v="0"/>
    <n v="14"/>
    <x v="12"/>
    <x v="3"/>
    <x v="624"/>
    <x v="1"/>
    <s v="No"/>
    <x v="164"/>
    <n v="4.16"/>
    <n v="3.33"/>
    <s v="Average"/>
    <x v="0"/>
    <x v="1"/>
  </r>
  <r>
    <x v="629"/>
    <x v="0"/>
    <n v="16"/>
    <x v="0"/>
    <x v="0"/>
    <n v="22"/>
    <x v="24"/>
    <x v="1"/>
    <x v="625"/>
    <x v="0"/>
    <s v="No"/>
    <x v="64"/>
    <n v="4.3099999999999996"/>
    <n v="3.5"/>
    <s v="Good"/>
    <x v="1"/>
    <x v="1"/>
  </r>
  <r>
    <x v="630"/>
    <x v="0"/>
    <n v="17"/>
    <x v="4"/>
    <x v="0"/>
    <n v="7"/>
    <x v="10"/>
    <x v="3"/>
    <x v="626"/>
    <x v="0"/>
    <s v="No"/>
    <x v="162"/>
    <n v="4.95"/>
    <n v="3.68"/>
    <s v="Good"/>
    <x v="0"/>
    <x v="1"/>
  </r>
  <r>
    <x v="631"/>
    <x v="1"/>
    <n v="17"/>
    <x v="0"/>
    <x v="1"/>
    <n v="15"/>
    <x v="5"/>
    <x v="1"/>
    <x v="627"/>
    <x v="0"/>
    <s v="Yes"/>
    <x v="124"/>
    <n v="3.88"/>
    <n v="3.34"/>
    <s v="Average"/>
    <x v="1"/>
    <x v="0"/>
  </r>
  <r>
    <x v="632"/>
    <x v="0"/>
    <n v="18"/>
    <x v="6"/>
    <x v="1"/>
    <n v="19"/>
    <x v="14"/>
    <x v="2"/>
    <x v="628"/>
    <x v="1"/>
    <s v="No"/>
    <x v="123"/>
    <n v="4.79"/>
    <n v="4.16"/>
    <s v="Good"/>
    <x v="1"/>
    <x v="0"/>
  </r>
  <r>
    <x v="633"/>
    <x v="0"/>
    <n v="17"/>
    <x v="1"/>
    <x v="0"/>
    <n v="15"/>
    <x v="6"/>
    <x v="0"/>
    <x v="629"/>
    <x v="0"/>
    <s v="No"/>
    <x v="70"/>
    <n v="4.32"/>
    <n v="4.95"/>
    <s v="Excellent"/>
    <x v="1"/>
    <x v="0"/>
  </r>
  <r>
    <x v="634"/>
    <x v="1"/>
    <n v="15"/>
    <x v="7"/>
    <x v="0"/>
    <n v="21"/>
    <x v="20"/>
    <x v="0"/>
    <x v="630"/>
    <x v="0"/>
    <s v="Yes"/>
    <x v="63"/>
    <n v="4.3499999999999996"/>
    <n v="4.5199999999999996"/>
    <s v="Excellent"/>
    <x v="1"/>
    <x v="0"/>
  </r>
  <r>
    <x v="635"/>
    <x v="1"/>
    <n v="17"/>
    <x v="2"/>
    <x v="0"/>
    <n v="21"/>
    <x v="22"/>
    <x v="2"/>
    <x v="631"/>
    <x v="1"/>
    <s v="Yes"/>
    <x v="194"/>
    <n v="4.01"/>
    <n v="3.85"/>
    <s v="Good"/>
    <x v="1"/>
    <x v="0"/>
  </r>
  <r>
    <x v="636"/>
    <x v="0"/>
    <n v="15"/>
    <x v="4"/>
    <x v="1"/>
    <n v="10"/>
    <x v="31"/>
    <x v="2"/>
    <x v="632"/>
    <x v="1"/>
    <s v="No"/>
    <x v="156"/>
    <n v="4.34"/>
    <n v="3.01"/>
    <s v="Average"/>
    <x v="0"/>
    <x v="1"/>
  </r>
  <r>
    <x v="637"/>
    <x v="0"/>
    <n v="15"/>
    <x v="7"/>
    <x v="1"/>
    <n v="9"/>
    <x v="18"/>
    <x v="0"/>
    <x v="633"/>
    <x v="0"/>
    <s v="No"/>
    <x v="16"/>
    <n v="3.61"/>
    <n v="3.63"/>
    <s v="Good"/>
    <x v="0"/>
    <x v="1"/>
  </r>
  <r>
    <x v="638"/>
    <x v="1"/>
    <n v="15"/>
    <x v="2"/>
    <x v="0"/>
    <n v="12"/>
    <x v="10"/>
    <x v="2"/>
    <x v="634"/>
    <x v="0"/>
    <s v="Yes"/>
    <x v="104"/>
    <n v="4.6500000000000004"/>
    <n v="4.05"/>
    <s v="Good"/>
    <x v="0"/>
    <x v="0"/>
  </r>
  <r>
    <x v="639"/>
    <x v="1"/>
    <n v="16"/>
    <x v="1"/>
    <x v="1"/>
    <n v="6"/>
    <x v="38"/>
    <x v="3"/>
    <x v="635"/>
    <x v="1"/>
    <s v="No"/>
    <x v="19"/>
    <n v="3.93"/>
    <n v="3.65"/>
    <s v="Good"/>
    <x v="0"/>
    <x v="1"/>
  </r>
  <r>
    <x v="640"/>
    <x v="1"/>
    <n v="18"/>
    <x v="0"/>
    <x v="0"/>
    <n v="20"/>
    <x v="12"/>
    <x v="1"/>
    <x v="636"/>
    <x v="1"/>
    <s v="Yes"/>
    <x v="153"/>
    <n v="4.83"/>
    <n v="3.22"/>
    <s v="Average"/>
    <x v="1"/>
    <x v="1"/>
  </r>
  <r>
    <x v="641"/>
    <x v="1"/>
    <n v="15"/>
    <x v="1"/>
    <x v="1"/>
    <n v="24"/>
    <x v="14"/>
    <x v="0"/>
    <x v="637"/>
    <x v="1"/>
    <s v="No"/>
    <x v="174"/>
    <n v="4.05"/>
    <n v="3.89"/>
    <s v="Good"/>
    <x v="1"/>
    <x v="1"/>
  </r>
  <r>
    <x v="642"/>
    <x v="1"/>
    <n v="15"/>
    <x v="5"/>
    <x v="1"/>
    <n v="28"/>
    <x v="26"/>
    <x v="2"/>
    <x v="638"/>
    <x v="1"/>
    <s v="Yes"/>
    <x v="191"/>
    <n v="3.71"/>
    <n v="3.51"/>
    <s v="Good"/>
    <x v="1"/>
    <x v="0"/>
  </r>
  <r>
    <x v="643"/>
    <x v="0"/>
    <n v="16"/>
    <x v="6"/>
    <x v="0"/>
    <n v="16"/>
    <x v="23"/>
    <x v="3"/>
    <x v="639"/>
    <x v="0"/>
    <s v="No"/>
    <x v="194"/>
    <n v="4.54"/>
    <n v="4.82"/>
    <s v="Excellent"/>
    <x v="1"/>
    <x v="0"/>
  </r>
  <r>
    <x v="644"/>
    <x v="1"/>
    <n v="15"/>
    <x v="5"/>
    <x v="0"/>
    <n v="10"/>
    <x v="0"/>
    <x v="0"/>
    <x v="640"/>
    <x v="0"/>
    <s v="Yes"/>
    <x v="133"/>
    <n v="3.75"/>
    <n v="3.2"/>
    <s v="Average"/>
    <x v="0"/>
    <x v="1"/>
  </r>
  <r>
    <x v="645"/>
    <x v="0"/>
    <n v="17"/>
    <x v="4"/>
    <x v="0"/>
    <n v="5"/>
    <x v="17"/>
    <x v="2"/>
    <x v="641"/>
    <x v="1"/>
    <s v="Yes"/>
    <x v="143"/>
    <n v="4.63"/>
    <n v="3.1"/>
    <s v="Average"/>
    <x v="0"/>
    <x v="1"/>
  </r>
  <r>
    <x v="646"/>
    <x v="0"/>
    <n v="17"/>
    <x v="7"/>
    <x v="0"/>
    <n v="8"/>
    <x v="2"/>
    <x v="0"/>
    <x v="642"/>
    <x v="0"/>
    <s v="Yes"/>
    <x v="9"/>
    <n v="4.95"/>
    <n v="3.01"/>
    <s v="Average"/>
    <x v="0"/>
    <x v="1"/>
  </r>
  <r>
    <x v="647"/>
    <x v="0"/>
    <n v="18"/>
    <x v="4"/>
    <x v="1"/>
    <n v="21"/>
    <x v="23"/>
    <x v="2"/>
    <x v="643"/>
    <x v="0"/>
    <s v="Yes"/>
    <x v="131"/>
    <n v="4.67"/>
    <n v="3.66"/>
    <s v="Good"/>
    <x v="1"/>
    <x v="0"/>
  </r>
  <r>
    <x v="648"/>
    <x v="1"/>
    <n v="15"/>
    <x v="0"/>
    <x v="1"/>
    <n v="17"/>
    <x v="16"/>
    <x v="0"/>
    <x v="644"/>
    <x v="1"/>
    <s v="Yes"/>
    <x v="73"/>
    <n v="3.53"/>
    <n v="4.32"/>
    <s v="Good"/>
    <x v="1"/>
    <x v="0"/>
  </r>
  <r>
    <x v="649"/>
    <x v="0"/>
    <n v="16"/>
    <x v="2"/>
    <x v="1"/>
    <n v="22"/>
    <x v="27"/>
    <x v="3"/>
    <x v="645"/>
    <x v="0"/>
    <s v="No"/>
    <x v="187"/>
    <n v="4.4000000000000004"/>
    <n v="4.46"/>
    <s v="Good"/>
    <x v="1"/>
    <x v="2"/>
  </r>
  <r>
    <x v="650"/>
    <x v="0"/>
    <n v="17"/>
    <x v="1"/>
    <x v="0"/>
    <n v="9"/>
    <x v="2"/>
    <x v="3"/>
    <x v="128"/>
    <x v="0"/>
    <s v="No"/>
    <x v="19"/>
    <n v="4.54"/>
    <n v="3.91"/>
    <s v="Good"/>
    <x v="0"/>
    <x v="1"/>
  </r>
  <r>
    <x v="651"/>
    <x v="1"/>
    <n v="16"/>
    <x v="5"/>
    <x v="1"/>
    <n v="28"/>
    <x v="12"/>
    <x v="1"/>
    <x v="646"/>
    <x v="0"/>
    <s v="Yes"/>
    <x v="127"/>
    <n v="4.74"/>
    <n v="4.37"/>
    <s v="Good"/>
    <x v="1"/>
    <x v="0"/>
  </r>
  <r>
    <x v="652"/>
    <x v="0"/>
    <n v="16"/>
    <x v="3"/>
    <x v="0"/>
    <n v="28"/>
    <x v="38"/>
    <x v="0"/>
    <x v="647"/>
    <x v="1"/>
    <s v="No"/>
    <x v="100"/>
    <n v="3.58"/>
    <n v="3.72"/>
    <s v="Good"/>
    <x v="1"/>
    <x v="0"/>
  </r>
  <r>
    <x v="653"/>
    <x v="0"/>
    <n v="17"/>
    <x v="5"/>
    <x v="1"/>
    <n v="7"/>
    <x v="32"/>
    <x v="1"/>
    <x v="648"/>
    <x v="1"/>
    <s v="No"/>
    <x v="38"/>
    <n v="4.22"/>
    <n v="4.34"/>
    <s v="Good"/>
    <x v="0"/>
    <x v="0"/>
  </r>
  <r>
    <x v="654"/>
    <x v="1"/>
    <n v="16"/>
    <x v="0"/>
    <x v="0"/>
    <n v="15"/>
    <x v="29"/>
    <x v="0"/>
    <x v="649"/>
    <x v="0"/>
    <s v="No"/>
    <x v="11"/>
    <n v="4.3"/>
    <n v="3.08"/>
    <s v="Average"/>
    <x v="1"/>
    <x v="0"/>
  </r>
  <r>
    <x v="655"/>
    <x v="0"/>
    <n v="17"/>
    <x v="5"/>
    <x v="0"/>
    <n v="17"/>
    <x v="15"/>
    <x v="2"/>
    <x v="650"/>
    <x v="1"/>
    <s v="No"/>
    <x v="193"/>
    <n v="3.75"/>
    <n v="3.78"/>
    <s v="Good"/>
    <x v="1"/>
    <x v="0"/>
  </r>
  <r>
    <x v="656"/>
    <x v="0"/>
    <n v="16"/>
    <x v="0"/>
    <x v="1"/>
    <n v="8"/>
    <x v="22"/>
    <x v="2"/>
    <x v="651"/>
    <x v="1"/>
    <s v="No"/>
    <x v="184"/>
    <n v="3.98"/>
    <n v="4.58"/>
    <s v="Excellent"/>
    <x v="0"/>
    <x v="0"/>
  </r>
  <r>
    <x v="657"/>
    <x v="0"/>
    <n v="17"/>
    <x v="3"/>
    <x v="0"/>
    <n v="18"/>
    <x v="32"/>
    <x v="1"/>
    <x v="652"/>
    <x v="1"/>
    <s v="No"/>
    <x v="144"/>
    <n v="4.16"/>
    <n v="4.6100000000000003"/>
    <s v="Excellent"/>
    <x v="1"/>
    <x v="1"/>
  </r>
  <r>
    <x v="658"/>
    <x v="1"/>
    <n v="15"/>
    <x v="4"/>
    <x v="0"/>
    <n v="26"/>
    <x v="22"/>
    <x v="0"/>
    <x v="653"/>
    <x v="0"/>
    <s v="Yes"/>
    <x v="47"/>
    <n v="4.75"/>
    <n v="4.43"/>
    <s v="Good"/>
    <x v="1"/>
    <x v="0"/>
  </r>
  <r>
    <x v="659"/>
    <x v="1"/>
    <n v="18"/>
    <x v="1"/>
    <x v="1"/>
    <n v="15"/>
    <x v="22"/>
    <x v="1"/>
    <x v="654"/>
    <x v="0"/>
    <s v="No"/>
    <x v="59"/>
    <n v="4.8899999999999997"/>
    <n v="3.41"/>
    <s v="Average"/>
    <x v="1"/>
    <x v="1"/>
  </r>
  <r>
    <x v="660"/>
    <x v="1"/>
    <n v="17"/>
    <x v="7"/>
    <x v="0"/>
    <n v="14"/>
    <x v="6"/>
    <x v="3"/>
    <x v="655"/>
    <x v="1"/>
    <s v="No"/>
    <x v="173"/>
    <n v="4.4400000000000004"/>
    <n v="3.49"/>
    <s v="Average"/>
    <x v="0"/>
    <x v="0"/>
  </r>
  <r>
    <x v="661"/>
    <x v="0"/>
    <n v="17"/>
    <x v="2"/>
    <x v="0"/>
    <n v="23"/>
    <x v="34"/>
    <x v="1"/>
    <x v="656"/>
    <x v="0"/>
    <s v="No"/>
    <x v="143"/>
    <n v="4.09"/>
    <n v="4.99"/>
    <s v="Excellent"/>
    <x v="1"/>
    <x v="0"/>
  </r>
  <r>
    <x v="662"/>
    <x v="0"/>
    <n v="18"/>
    <x v="7"/>
    <x v="0"/>
    <n v="22"/>
    <x v="39"/>
    <x v="1"/>
    <x v="657"/>
    <x v="0"/>
    <s v="Yes"/>
    <x v="69"/>
    <n v="3.88"/>
    <n v="3.21"/>
    <s v="Average"/>
    <x v="1"/>
    <x v="0"/>
  </r>
  <r>
    <x v="663"/>
    <x v="1"/>
    <n v="17"/>
    <x v="4"/>
    <x v="1"/>
    <n v="10"/>
    <x v="33"/>
    <x v="2"/>
    <x v="658"/>
    <x v="0"/>
    <s v="No"/>
    <x v="77"/>
    <n v="4.97"/>
    <n v="3.36"/>
    <s v="Average"/>
    <x v="0"/>
    <x v="1"/>
  </r>
  <r>
    <x v="664"/>
    <x v="0"/>
    <n v="17"/>
    <x v="2"/>
    <x v="1"/>
    <n v="19"/>
    <x v="12"/>
    <x v="1"/>
    <x v="659"/>
    <x v="0"/>
    <s v="No"/>
    <x v="65"/>
    <n v="4.97"/>
    <n v="3.26"/>
    <s v="Average"/>
    <x v="1"/>
    <x v="1"/>
  </r>
  <r>
    <x v="665"/>
    <x v="0"/>
    <n v="16"/>
    <x v="5"/>
    <x v="0"/>
    <n v="25"/>
    <x v="6"/>
    <x v="0"/>
    <x v="660"/>
    <x v="0"/>
    <s v="No"/>
    <x v="129"/>
    <n v="4.8899999999999997"/>
    <n v="3.66"/>
    <s v="Good"/>
    <x v="1"/>
    <x v="1"/>
  </r>
  <r>
    <x v="666"/>
    <x v="1"/>
    <n v="18"/>
    <x v="3"/>
    <x v="1"/>
    <n v="14"/>
    <x v="16"/>
    <x v="2"/>
    <x v="661"/>
    <x v="1"/>
    <s v="Yes"/>
    <x v="107"/>
    <n v="4.68"/>
    <n v="3.42"/>
    <s v="Average"/>
    <x v="0"/>
    <x v="1"/>
  </r>
  <r>
    <x v="667"/>
    <x v="1"/>
    <n v="15"/>
    <x v="3"/>
    <x v="0"/>
    <n v="9"/>
    <x v="29"/>
    <x v="1"/>
    <x v="662"/>
    <x v="0"/>
    <s v="No"/>
    <x v="115"/>
    <n v="3.99"/>
    <n v="4"/>
    <s v="Good"/>
    <x v="0"/>
    <x v="0"/>
  </r>
  <r>
    <x v="668"/>
    <x v="0"/>
    <n v="17"/>
    <x v="6"/>
    <x v="0"/>
    <n v="9"/>
    <x v="7"/>
    <x v="3"/>
    <x v="663"/>
    <x v="0"/>
    <s v="Yes"/>
    <x v="91"/>
    <n v="4.7300000000000004"/>
    <n v="3.95"/>
    <s v="Good"/>
    <x v="0"/>
    <x v="1"/>
  </r>
  <r>
    <x v="669"/>
    <x v="0"/>
    <n v="18"/>
    <x v="4"/>
    <x v="0"/>
    <n v="14"/>
    <x v="8"/>
    <x v="1"/>
    <x v="664"/>
    <x v="0"/>
    <s v="No"/>
    <x v="38"/>
    <n v="4.1100000000000003"/>
    <n v="4.8"/>
    <s v="Excellent"/>
    <x v="0"/>
    <x v="0"/>
  </r>
  <r>
    <x v="670"/>
    <x v="0"/>
    <n v="16"/>
    <x v="4"/>
    <x v="0"/>
    <n v="9"/>
    <x v="13"/>
    <x v="1"/>
    <x v="665"/>
    <x v="1"/>
    <s v="Yes"/>
    <x v="84"/>
    <n v="3.99"/>
    <n v="3.07"/>
    <s v="Average"/>
    <x v="0"/>
    <x v="1"/>
  </r>
  <r>
    <x v="671"/>
    <x v="1"/>
    <n v="15"/>
    <x v="1"/>
    <x v="0"/>
    <n v="7"/>
    <x v="2"/>
    <x v="1"/>
    <x v="666"/>
    <x v="1"/>
    <s v="Yes"/>
    <x v="83"/>
    <n v="4.62"/>
    <n v="3.64"/>
    <s v="Good"/>
    <x v="0"/>
    <x v="1"/>
  </r>
  <r>
    <x v="672"/>
    <x v="1"/>
    <n v="18"/>
    <x v="7"/>
    <x v="1"/>
    <n v="27"/>
    <x v="39"/>
    <x v="2"/>
    <x v="667"/>
    <x v="1"/>
    <s v="Yes"/>
    <x v="74"/>
    <n v="3.62"/>
    <n v="4.1900000000000004"/>
    <s v="Good"/>
    <x v="1"/>
    <x v="0"/>
  </r>
  <r>
    <x v="673"/>
    <x v="1"/>
    <n v="15"/>
    <x v="4"/>
    <x v="0"/>
    <n v="10"/>
    <x v="32"/>
    <x v="0"/>
    <x v="668"/>
    <x v="0"/>
    <s v="No"/>
    <x v="180"/>
    <n v="3.57"/>
    <n v="4.21"/>
    <s v="Good"/>
    <x v="0"/>
    <x v="1"/>
  </r>
  <r>
    <x v="674"/>
    <x v="1"/>
    <n v="15"/>
    <x v="4"/>
    <x v="1"/>
    <n v="8"/>
    <x v="2"/>
    <x v="3"/>
    <x v="669"/>
    <x v="1"/>
    <s v="Yes"/>
    <x v="102"/>
    <n v="4.17"/>
    <n v="3.96"/>
    <s v="Good"/>
    <x v="0"/>
    <x v="0"/>
  </r>
  <r>
    <x v="675"/>
    <x v="0"/>
    <n v="15"/>
    <x v="5"/>
    <x v="1"/>
    <n v="22"/>
    <x v="9"/>
    <x v="1"/>
    <x v="670"/>
    <x v="1"/>
    <s v="Yes"/>
    <x v="121"/>
    <n v="4.17"/>
    <n v="4.63"/>
    <s v="Excellent"/>
    <x v="1"/>
    <x v="1"/>
  </r>
  <r>
    <x v="676"/>
    <x v="1"/>
    <n v="17"/>
    <x v="5"/>
    <x v="0"/>
    <n v="13"/>
    <x v="36"/>
    <x v="0"/>
    <x v="671"/>
    <x v="1"/>
    <s v="Yes"/>
    <x v="22"/>
    <n v="4.84"/>
    <n v="3.13"/>
    <s v="Average"/>
    <x v="0"/>
    <x v="1"/>
  </r>
  <r>
    <x v="677"/>
    <x v="1"/>
    <n v="17"/>
    <x v="2"/>
    <x v="0"/>
    <n v="21"/>
    <x v="25"/>
    <x v="0"/>
    <x v="672"/>
    <x v="1"/>
    <s v="Yes"/>
    <x v="25"/>
    <n v="3.69"/>
    <n v="4.63"/>
    <s v="Excellent"/>
    <x v="1"/>
    <x v="0"/>
  </r>
  <r>
    <x v="678"/>
    <x v="1"/>
    <n v="16"/>
    <x v="0"/>
    <x v="1"/>
    <n v="17"/>
    <x v="3"/>
    <x v="2"/>
    <x v="673"/>
    <x v="0"/>
    <s v="No"/>
    <x v="9"/>
    <n v="3.68"/>
    <n v="3.99"/>
    <s v="Good"/>
    <x v="1"/>
    <x v="1"/>
  </r>
  <r>
    <x v="679"/>
    <x v="1"/>
    <n v="16"/>
    <x v="0"/>
    <x v="1"/>
    <n v="19"/>
    <x v="6"/>
    <x v="3"/>
    <x v="674"/>
    <x v="1"/>
    <s v="No"/>
    <x v="160"/>
    <n v="3.72"/>
    <n v="3.27"/>
    <s v="Average"/>
    <x v="1"/>
    <x v="1"/>
  </r>
  <r>
    <x v="680"/>
    <x v="1"/>
    <n v="18"/>
    <x v="6"/>
    <x v="1"/>
    <n v="24"/>
    <x v="27"/>
    <x v="2"/>
    <x v="675"/>
    <x v="1"/>
    <s v="No"/>
    <x v="78"/>
    <n v="3.54"/>
    <n v="4.7699999999999996"/>
    <s v="Excellent"/>
    <x v="1"/>
    <x v="0"/>
  </r>
  <r>
    <x v="681"/>
    <x v="0"/>
    <n v="16"/>
    <x v="0"/>
    <x v="0"/>
    <n v="21"/>
    <x v="3"/>
    <x v="0"/>
    <x v="676"/>
    <x v="0"/>
    <s v="No"/>
    <x v="149"/>
    <n v="3.61"/>
    <n v="4.3"/>
    <s v="Good"/>
    <x v="1"/>
    <x v="1"/>
  </r>
  <r>
    <x v="682"/>
    <x v="0"/>
    <n v="15"/>
    <x v="1"/>
    <x v="1"/>
    <n v="17"/>
    <x v="37"/>
    <x v="0"/>
    <x v="228"/>
    <x v="0"/>
    <s v="Yes"/>
    <x v="62"/>
    <n v="4.49"/>
    <n v="3.33"/>
    <s v="Average"/>
    <x v="1"/>
    <x v="1"/>
  </r>
  <r>
    <x v="683"/>
    <x v="1"/>
    <n v="15"/>
    <x v="6"/>
    <x v="0"/>
    <n v="20"/>
    <x v="37"/>
    <x v="0"/>
    <x v="677"/>
    <x v="1"/>
    <s v="No"/>
    <x v="57"/>
    <n v="4.1500000000000004"/>
    <n v="3.07"/>
    <s v="Average"/>
    <x v="1"/>
    <x v="1"/>
  </r>
  <r>
    <x v="684"/>
    <x v="0"/>
    <n v="17"/>
    <x v="2"/>
    <x v="0"/>
    <n v="26"/>
    <x v="39"/>
    <x v="2"/>
    <x v="678"/>
    <x v="0"/>
    <s v="Yes"/>
    <x v="32"/>
    <n v="4.6500000000000004"/>
    <n v="3.28"/>
    <s v="Average"/>
    <x v="1"/>
    <x v="1"/>
  </r>
  <r>
    <x v="685"/>
    <x v="1"/>
    <n v="15"/>
    <x v="5"/>
    <x v="0"/>
    <n v="8"/>
    <x v="18"/>
    <x v="3"/>
    <x v="679"/>
    <x v="1"/>
    <s v="No"/>
    <x v="189"/>
    <n v="4.99"/>
    <n v="4.22"/>
    <s v="Good"/>
    <x v="0"/>
    <x v="1"/>
  </r>
  <r>
    <x v="686"/>
    <x v="1"/>
    <n v="18"/>
    <x v="0"/>
    <x v="1"/>
    <n v="9"/>
    <x v="11"/>
    <x v="1"/>
    <x v="680"/>
    <x v="0"/>
    <s v="No"/>
    <x v="46"/>
    <n v="4.49"/>
    <n v="3.36"/>
    <s v="Average"/>
    <x v="0"/>
    <x v="1"/>
  </r>
  <r>
    <x v="687"/>
    <x v="0"/>
    <n v="15"/>
    <x v="7"/>
    <x v="0"/>
    <n v="9"/>
    <x v="21"/>
    <x v="2"/>
    <x v="681"/>
    <x v="0"/>
    <s v="No"/>
    <x v="126"/>
    <n v="3.58"/>
    <n v="3.45"/>
    <s v="Average"/>
    <x v="0"/>
    <x v="1"/>
  </r>
  <r>
    <x v="688"/>
    <x v="0"/>
    <n v="15"/>
    <x v="5"/>
    <x v="0"/>
    <n v="13"/>
    <x v="24"/>
    <x v="0"/>
    <x v="682"/>
    <x v="1"/>
    <s v="Yes"/>
    <x v="101"/>
    <n v="3.66"/>
    <n v="3.05"/>
    <s v="Average"/>
    <x v="0"/>
    <x v="1"/>
  </r>
  <r>
    <x v="689"/>
    <x v="1"/>
    <n v="18"/>
    <x v="3"/>
    <x v="0"/>
    <n v="21"/>
    <x v="6"/>
    <x v="2"/>
    <x v="683"/>
    <x v="0"/>
    <s v="No"/>
    <x v="130"/>
    <n v="4.82"/>
    <n v="4.45"/>
    <s v="Good"/>
    <x v="1"/>
    <x v="0"/>
  </r>
  <r>
    <x v="690"/>
    <x v="1"/>
    <n v="16"/>
    <x v="1"/>
    <x v="0"/>
    <n v="17"/>
    <x v="5"/>
    <x v="0"/>
    <x v="684"/>
    <x v="1"/>
    <s v="No"/>
    <x v="153"/>
    <n v="4.29"/>
    <n v="4.62"/>
    <s v="Excellent"/>
    <x v="1"/>
    <x v="0"/>
  </r>
  <r>
    <x v="691"/>
    <x v="1"/>
    <n v="16"/>
    <x v="5"/>
    <x v="0"/>
    <n v="6"/>
    <x v="30"/>
    <x v="1"/>
    <x v="685"/>
    <x v="0"/>
    <s v="No"/>
    <x v="24"/>
    <n v="4.74"/>
    <n v="4.59"/>
    <s v="Excellent"/>
    <x v="0"/>
    <x v="0"/>
  </r>
  <r>
    <x v="692"/>
    <x v="0"/>
    <n v="18"/>
    <x v="1"/>
    <x v="1"/>
    <n v="17"/>
    <x v="13"/>
    <x v="1"/>
    <x v="686"/>
    <x v="1"/>
    <s v="Yes"/>
    <x v="12"/>
    <n v="4.78"/>
    <n v="3.26"/>
    <s v="Average"/>
    <x v="1"/>
    <x v="1"/>
  </r>
  <r>
    <x v="693"/>
    <x v="1"/>
    <n v="17"/>
    <x v="1"/>
    <x v="0"/>
    <n v="26"/>
    <x v="11"/>
    <x v="3"/>
    <x v="687"/>
    <x v="0"/>
    <s v="No"/>
    <x v="112"/>
    <n v="4.8899999999999997"/>
    <n v="4.8099999999999996"/>
    <s v="Excellent"/>
    <x v="1"/>
    <x v="0"/>
  </r>
  <r>
    <x v="694"/>
    <x v="1"/>
    <n v="15"/>
    <x v="1"/>
    <x v="0"/>
    <n v="25"/>
    <x v="23"/>
    <x v="0"/>
    <x v="688"/>
    <x v="0"/>
    <s v="No"/>
    <x v="165"/>
    <n v="4.92"/>
    <n v="4.34"/>
    <s v="Good"/>
    <x v="1"/>
    <x v="0"/>
  </r>
  <r>
    <x v="695"/>
    <x v="1"/>
    <n v="18"/>
    <x v="2"/>
    <x v="1"/>
    <n v="27"/>
    <x v="39"/>
    <x v="3"/>
    <x v="689"/>
    <x v="0"/>
    <s v="Yes"/>
    <x v="96"/>
    <n v="4.33"/>
    <n v="4.8"/>
    <s v="Excellent"/>
    <x v="1"/>
    <x v="0"/>
  </r>
  <r>
    <x v="696"/>
    <x v="0"/>
    <n v="15"/>
    <x v="1"/>
    <x v="0"/>
    <n v="23"/>
    <x v="25"/>
    <x v="3"/>
    <x v="690"/>
    <x v="0"/>
    <s v="Yes"/>
    <x v="6"/>
    <n v="4.01"/>
    <n v="3.89"/>
    <s v="Good"/>
    <x v="1"/>
    <x v="0"/>
  </r>
  <r>
    <x v="697"/>
    <x v="1"/>
    <n v="17"/>
    <x v="1"/>
    <x v="1"/>
    <n v="7"/>
    <x v="1"/>
    <x v="1"/>
    <x v="691"/>
    <x v="0"/>
    <s v="No"/>
    <x v="152"/>
    <n v="4.9400000000000004"/>
    <n v="3.87"/>
    <s v="Good"/>
    <x v="0"/>
    <x v="1"/>
  </r>
  <r>
    <x v="698"/>
    <x v="1"/>
    <n v="15"/>
    <x v="3"/>
    <x v="0"/>
    <n v="14"/>
    <x v="9"/>
    <x v="2"/>
    <x v="692"/>
    <x v="1"/>
    <s v="No"/>
    <x v="49"/>
    <n v="4.32"/>
    <n v="4.57"/>
    <s v="Excellent"/>
    <x v="0"/>
    <x v="1"/>
  </r>
  <r>
    <x v="699"/>
    <x v="0"/>
    <n v="18"/>
    <x v="7"/>
    <x v="1"/>
    <n v="6"/>
    <x v="25"/>
    <x v="2"/>
    <x v="693"/>
    <x v="0"/>
    <s v="No"/>
    <x v="30"/>
    <n v="3.6"/>
    <n v="3.19"/>
    <s v="Average"/>
    <x v="0"/>
    <x v="1"/>
  </r>
  <r>
    <x v="700"/>
    <x v="1"/>
    <n v="15"/>
    <x v="6"/>
    <x v="1"/>
    <n v="17"/>
    <x v="21"/>
    <x v="3"/>
    <x v="694"/>
    <x v="1"/>
    <s v="Yes"/>
    <x v="48"/>
    <n v="4.46"/>
    <n v="4.04"/>
    <s v="Good"/>
    <x v="1"/>
    <x v="1"/>
  </r>
  <r>
    <x v="701"/>
    <x v="1"/>
    <n v="16"/>
    <x v="4"/>
    <x v="0"/>
    <n v="23"/>
    <x v="29"/>
    <x v="1"/>
    <x v="695"/>
    <x v="1"/>
    <s v="Yes"/>
    <x v="5"/>
    <n v="4.38"/>
    <n v="4.67"/>
    <s v="Excellent"/>
    <x v="1"/>
    <x v="0"/>
  </r>
  <r>
    <x v="702"/>
    <x v="0"/>
    <n v="17"/>
    <x v="3"/>
    <x v="0"/>
    <n v="21"/>
    <x v="4"/>
    <x v="0"/>
    <x v="696"/>
    <x v="1"/>
    <s v="Yes"/>
    <x v="181"/>
    <n v="4.84"/>
    <n v="4.66"/>
    <s v="Excellent"/>
    <x v="1"/>
    <x v="0"/>
  </r>
  <r>
    <x v="703"/>
    <x v="1"/>
    <n v="17"/>
    <x v="6"/>
    <x v="0"/>
    <n v="25"/>
    <x v="23"/>
    <x v="2"/>
    <x v="697"/>
    <x v="0"/>
    <s v="No"/>
    <x v="25"/>
    <n v="4.4800000000000004"/>
    <n v="4.91"/>
    <s v="Excellent"/>
    <x v="1"/>
    <x v="0"/>
  </r>
  <r>
    <x v="704"/>
    <x v="0"/>
    <n v="17"/>
    <x v="1"/>
    <x v="1"/>
    <n v="18"/>
    <x v="5"/>
    <x v="3"/>
    <x v="698"/>
    <x v="1"/>
    <s v="Yes"/>
    <x v="5"/>
    <n v="4.0199999999999996"/>
    <n v="4.4000000000000004"/>
    <s v="Good"/>
    <x v="1"/>
    <x v="2"/>
  </r>
  <r>
    <x v="705"/>
    <x v="0"/>
    <n v="18"/>
    <x v="7"/>
    <x v="1"/>
    <n v="16"/>
    <x v="34"/>
    <x v="2"/>
    <x v="699"/>
    <x v="0"/>
    <s v="No"/>
    <x v="190"/>
    <n v="4.95"/>
    <n v="3.42"/>
    <s v="Average"/>
    <x v="1"/>
    <x v="1"/>
  </r>
  <r>
    <x v="706"/>
    <x v="1"/>
    <n v="17"/>
    <x v="5"/>
    <x v="1"/>
    <n v="25"/>
    <x v="10"/>
    <x v="2"/>
    <x v="700"/>
    <x v="1"/>
    <s v="Yes"/>
    <x v="67"/>
    <n v="4.7"/>
    <n v="3.04"/>
    <s v="Average"/>
    <x v="1"/>
    <x v="2"/>
  </r>
  <r>
    <x v="707"/>
    <x v="1"/>
    <n v="16"/>
    <x v="7"/>
    <x v="0"/>
    <n v="16"/>
    <x v="25"/>
    <x v="0"/>
    <x v="701"/>
    <x v="1"/>
    <s v="Yes"/>
    <x v="195"/>
    <n v="4.45"/>
    <n v="3.96"/>
    <s v="Good"/>
    <x v="1"/>
    <x v="1"/>
  </r>
  <r>
    <x v="708"/>
    <x v="1"/>
    <n v="18"/>
    <x v="3"/>
    <x v="1"/>
    <n v="15"/>
    <x v="17"/>
    <x v="1"/>
    <x v="702"/>
    <x v="1"/>
    <s v="Yes"/>
    <x v="67"/>
    <n v="3.94"/>
    <n v="4.03"/>
    <s v="Good"/>
    <x v="1"/>
    <x v="0"/>
  </r>
  <r>
    <x v="709"/>
    <x v="1"/>
    <n v="16"/>
    <x v="1"/>
    <x v="1"/>
    <n v="11"/>
    <x v="37"/>
    <x v="0"/>
    <x v="703"/>
    <x v="1"/>
    <s v="No"/>
    <x v="28"/>
    <n v="4.0599999999999996"/>
    <n v="3.48"/>
    <s v="Average"/>
    <x v="0"/>
    <x v="1"/>
  </r>
  <r>
    <x v="710"/>
    <x v="0"/>
    <n v="15"/>
    <x v="7"/>
    <x v="0"/>
    <n v="8"/>
    <x v="25"/>
    <x v="1"/>
    <x v="704"/>
    <x v="1"/>
    <s v="No"/>
    <x v="81"/>
    <n v="4.5"/>
    <n v="3.25"/>
    <s v="Average"/>
    <x v="0"/>
    <x v="1"/>
  </r>
  <r>
    <x v="711"/>
    <x v="1"/>
    <n v="15"/>
    <x v="0"/>
    <x v="1"/>
    <n v="23"/>
    <x v="1"/>
    <x v="2"/>
    <x v="705"/>
    <x v="0"/>
    <s v="No"/>
    <x v="175"/>
    <n v="3.61"/>
    <n v="4.17"/>
    <s v="Good"/>
    <x v="1"/>
    <x v="0"/>
  </r>
  <r>
    <x v="712"/>
    <x v="0"/>
    <n v="15"/>
    <x v="7"/>
    <x v="1"/>
    <n v="5"/>
    <x v="31"/>
    <x v="3"/>
    <x v="706"/>
    <x v="1"/>
    <s v="No"/>
    <x v="156"/>
    <n v="3.89"/>
    <n v="4.53"/>
    <s v="Excellent"/>
    <x v="0"/>
    <x v="0"/>
  </r>
  <r>
    <x v="713"/>
    <x v="1"/>
    <n v="15"/>
    <x v="1"/>
    <x v="0"/>
    <n v="28"/>
    <x v="6"/>
    <x v="0"/>
    <x v="707"/>
    <x v="1"/>
    <s v="Yes"/>
    <x v="76"/>
    <n v="4.57"/>
    <n v="4.99"/>
    <s v="Excellent"/>
    <x v="1"/>
    <x v="0"/>
  </r>
  <r>
    <x v="714"/>
    <x v="1"/>
    <n v="16"/>
    <x v="2"/>
    <x v="1"/>
    <n v="7"/>
    <x v="20"/>
    <x v="1"/>
    <x v="708"/>
    <x v="0"/>
    <s v="No"/>
    <x v="98"/>
    <n v="4.22"/>
    <n v="4.5199999999999996"/>
    <s v="Excellent"/>
    <x v="0"/>
    <x v="0"/>
  </r>
  <r>
    <x v="715"/>
    <x v="1"/>
    <n v="18"/>
    <x v="0"/>
    <x v="0"/>
    <n v="17"/>
    <x v="10"/>
    <x v="2"/>
    <x v="709"/>
    <x v="0"/>
    <s v="Yes"/>
    <x v="60"/>
    <n v="4.0999999999999996"/>
    <n v="4.59"/>
    <s v="Excellent"/>
    <x v="1"/>
    <x v="0"/>
  </r>
  <r>
    <x v="716"/>
    <x v="0"/>
    <n v="18"/>
    <x v="7"/>
    <x v="0"/>
    <n v="19"/>
    <x v="30"/>
    <x v="1"/>
    <x v="710"/>
    <x v="0"/>
    <s v="No"/>
    <x v="189"/>
    <n v="3.73"/>
    <n v="4.2300000000000004"/>
    <s v="Good"/>
    <x v="1"/>
    <x v="1"/>
  </r>
  <r>
    <x v="717"/>
    <x v="1"/>
    <n v="17"/>
    <x v="4"/>
    <x v="0"/>
    <n v="6"/>
    <x v="14"/>
    <x v="1"/>
    <x v="711"/>
    <x v="1"/>
    <s v="No"/>
    <x v="144"/>
    <n v="4.16"/>
    <n v="4.97"/>
    <s v="Excellent"/>
    <x v="0"/>
    <x v="0"/>
  </r>
  <r>
    <x v="718"/>
    <x v="1"/>
    <n v="16"/>
    <x v="4"/>
    <x v="0"/>
    <n v="15"/>
    <x v="4"/>
    <x v="1"/>
    <x v="712"/>
    <x v="1"/>
    <s v="Yes"/>
    <x v="75"/>
    <n v="4.66"/>
    <n v="4.28"/>
    <s v="Good"/>
    <x v="1"/>
    <x v="0"/>
  </r>
  <r>
    <x v="719"/>
    <x v="1"/>
    <n v="15"/>
    <x v="7"/>
    <x v="0"/>
    <n v="8"/>
    <x v="23"/>
    <x v="2"/>
    <x v="713"/>
    <x v="1"/>
    <s v="Yes"/>
    <x v="187"/>
    <n v="3.9"/>
    <n v="4.72"/>
    <s v="Excellent"/>
    <x v="0"/>
    <x v="0"/>
  </r>
  <r>
    <x v="720"/>
    <x v="1"/>
    <n v="16"/>
    <x v="2"/>
    <x v="1"/>
    <n v="23"/>
    <x v="24"/>
    <x v="3"/>
    <x v="714"/>
    <x v="1"/>
    <s v="No"/>
    <x v="118"/>
    <n v="3.51"/>
    <n v="4.8899999999999997"/>
    <s v="Excellent"/>
    <x v="1"/>
    <x v="0"/>
  </r>
  <r>
    <x v="721"/>
    <x v="0"/>
    <n v="17"/>
    <x v="5"/>
    <x v="1"/>
    <n v="21"/>
    <x v="4"/>
    <x v="3"/>
    <x v="715"/>
    <x v="1"/>
    <s v="No"/>
    <x v="102"/>
    <n v="4.5"/>
    <n v="4.8600000000000003"/>
    <s v="Excellent"/>
    <x v="1"/>
    <x v="0"/>
  </r>
  <r>
    <x v="722"/>
    <x v="1"/>
    <n v="17"/>
    <x v="1"/>
    <x v="0"/>
    <n v="7"/>
    <x v="1"/>
    <x v="3"/>
    <x v="716"/>
    <x v="1"/>
    <s v="Yes"/>
    <x v="86"/>
    <n v="4.96"/>
    <n v="3.76"/>
    <s v="Good"/>
    <x v="0"/>
    <x v="0"/>
  </r>
  <r>
    <x v="723"/>
    <x v="0"/>
    <n v="16"/>
    <x v="4"/>
    <x v="0"/>
    <n v="22"/>
    <x v="37"/>
    <x v="1"/>
    <x v="717"/>
    <x v="0"/>
    <s v="Yes"/>
    <x v="196"/>
    <n v="4.41"/>
    <n v="3.16"/>
    <s v="Average"/>
    <x v="1"/>
    <x v="1"/>
  </r>
  <r>
    <x v="724"/>
    <x v="0"/>
    <n v="16"/>
    <x v="5"/>
    <x v="1"/>
    <n v="12"/>
    <x v="15"/>
    <x v="2"/>
    <x v="718"/>
    <x v="0"/>
    <s v="Yes"/>
    <x v="118"/>
    <n v="3.68"/>
    <n v="3.34"/>
    <s v="Average"/>
    <x v="0"/>
    <x v="1"/>
  </r>
  <r>
    <x v="725"/>
    <x v="0"/>
    <n v="16"/>
    <x v="7"/>
    <x v="0"/>
    <n v="26"/>
    <x v="33"/>
    <x v="1"/>
    <x v="719"/>
    <x v="1"/>
    <s v="Yes"/>
    <x v="96"/>
    <n v="3.98"/>
    <n v="3.12"/>
    <s v="Average"/>
    <x v="1"/>
    <x v="1"/>
  </r>
  <r>
    <x v="726"/>
    <x v="0"/>
    <n v="18"/>
    <x v="3"/>
    <x v="0"/>
    <n v="29"/>
    <x v="18"/>
    <x v="3"/>
    <x v="720"/>
    <x v="1"/>
    <s v="Yes"/>
    <x v="35"/>
    <n v="4.8"/>
    <n v="3.21"/>
    <s v="Average"/>
    <x v="1"/>
    <x v="1"/>
  </r>
  <r>
    <x v="727"/>
    <x v="0"/>
    <n v="15"/>
    <x v="5"/>
    <x v="0"/>
    <n v="28"/>
    <x v="26"/>
    <x v="3"/>
    <x v="721"/>
    <x v="1"/>
    <s v="No"/>
    <x v="134"/>
    <n v="3.85"/>
    <n v="3.37"/>
    <s v="Average"/>
    <x v="1"/>
    <x v="1"/>
  </r>
  <r>
    <x v="728"/>
    <x v="0"/>
    <n v="16"/>
    <x v="0"/>
    <x v="1"/>
    <n v="23"/>
    <x v="5"/>
    <x v="2"/>
    <x v="722"/>
    <x v="1"/>
    <s v="No"/>
    <x v="140"/>
    <n v="4.41"/>
    <n v="3.68"/>
    <s v="Good"/>
    <x v="1"/>
    <x v="1"/>
  </r>
  <r>
    <x v="729"/>
    <x v="1"/>
    <n v="16"/>
    <x v="6"/>
    <x v="1"/>
    <n v="9"/>
    <x v="12"/>
    <x v="1"/>
    <x v="723"/>
    <x v="1"/>
    <s v="No"/>
    <x v="58"/>
    <n v="4.0999999999999996"/>
    <n v="4.09"/>
    <s v="Good"/>
    <x v="0"/>
    <x v="0"/>
  </r>
  <r>
    <x v="730"/>
    <x v="0"/>
    <n v="16"/>
    <x v="4"/>
    <x v="0"/>
    <n v="11"/>
    <x v="0"/>
    <x v="0"/>
    <x v="724"/>
    <x v="0"/>
    <s v="No"/>
    <x v="94"/>
    <n v="3.81"/>
    <n v="4.42"/>
    <s v="Good"/>
    <x v="0"/>
    <x v="0"/>
  </r>
  <r>
    <x v="731"/>
    <x v="0"/>
    <n v="17"/>
    <x v="7"/>
    <x v="0"/>
    <n v="25"/>
    <x v="15"/>
    <x v="0"/>
    <x v="725"/>
    <x v="0"/>
    <s v="Yes"/>
    <x v="50"/>
    <n v="4.72"/>
    <n v="3.42"/>
    <s v="Average"/>
    <x v="1"/>
    <x v="1"/>
  </r>
  <r>
    <x v="732"/>
    <x v="0"/>
    <n v="17"/>
    <x v="3"/>
    <x v="1"/>
    <n v="12"/>
    <x v="11"/>
    <x v="3"/>
    <x v="454"/>
    <x v="1"/>
    <s v="Yes"/>
    <x v="25"/>
    <n v="4.6100000000000003"/>
    <n v="4.3499999999999996"/>
    <s v="Good"/>
    <x v="0"/>
    <x v="0"/>
  </r>
  <r>
    <x v="733"/>
    <x v="1"/>
    <n v="18"/>
    <x v="1"/>
    <x v="1"/>
    <n v="9"/>
    <x v="8"/>
    <x v="2"/>
    <x v="726"/>
    <x v="0"/>
    <s v="Yes"/>
    <x v="118"/>
    <n v="4.49"/>
    <n v="4.41"/>
    <s v="Good"/>
    <x v="0"/>
    <x v="0"/>
  </r>
  <r>
    <x v="734"/>
    <x v="1"/>
    <n v="15"/>
    <x v="3"/>
    <x v="0"/>
    <n v="21"/>
    <x v="38"/>
    <x v="1"/>
    <x v="727"/>
    <x v="1"/>
    <s v="No"/>
    <x v="35"/>
    <n v="3.85"/>
    <n v="4.12"/>
    <s v="Good"/>
    <x v="1"/>
    <x v="1"/>
  </r>
  <r>
    <x v="735"/>
    <x v="0"/>
    <n v="18"/>
    <x v="2"/>
    <x v="0"/>
    <n v="9"/>
    <x v="12"/>
    <x v="1"/>
    <x v="728"/>
    <x v="1"/>
    <s v="Yes"/>
    <x v="17"/>
    <n v="3.65"/>
    <n v="4.8099999999999996"/>
    <s v="Excellent"/>
    <x v="0"/>
    <x v="0"/>
  </r>
  <r>
    <x v="736"/>
    <x v="1"/>
    <n v="15"/>
    <x v="0"/>
    <x v="1"/>
    <n v="8"/>
    <x v="27"/>
    <x v="3"/>
    <x v="729"/>
    <x v="1"/>
    <s v="Yes"/>
    <x v="97"/>
    <n v="4.3600000000000003"/>
    <n v="3.22"/>
    <s v="Average"/>
    <x v="0"/>
    <x v="1"/>
  </r>
  <r>
    <x v="737"/>
    <x v="0"/>
    <n v="17"/>
    <x v="7"/>
    <x v="1"/>
    <n v="26"/>
    <x v="28"/>
    <x v="3"/>
    <x v="730"/>
    <x v="0"/>
    <s v="No"/>
    <x v="1"/>
    <n v="4.33"/>
    <n v="3.35"/>
    <s v="Average"/>
    <x v="1"/>
    <x v="1"/>
  </r>
  <r>
    <x v="738"/>
    <x v="0"/>
    <n v="17"/>
    <x v="1"/>
    <x v="1"/>
    <n v="23"/>
    <x v="5"/>
    <x v="1"/>
    <x v="731"/>
    <x v="0"/>
    <s v="No"/>
    <x v="153"/>
    <n v="3.78"/>
    <n v="3.86"/>
    <s v="Good"/>
    <x v="1"/>
    <x v="0"/>
  </r>
  <r>
    <x v="739"/>
    <x v="1"/>
    <n v="17"/>
    <x v="2"/>
    <x v="0"/>
    <n v="25"/>
    <x v="24"/>
    <x v="1"/>
    <x v="732"/>
    <x v="1"/>
    <s v="No"/>
    <x v="179"/>
    <n v="3.58"/>
    <n v="3.25"/>
    <s v="Average"/>
    <x v="1"/>
    <x v="1"/>
  </r>
  <r>
    <x v="740"/>
    <x v="0"/>
    <n v="18"/>
    <x v="2"/>
    <x v="1"/>
    <n v="6"/>
    <x v="24"/>
    <x v="3"/>
    <x v="733"/>
    <x v="0"/>
    <s v="Yes"/>
    <x v="133"/>
    <n v="3.62"/>
    <n v="4.13"/>
    <s v="Good"/>
    <x v="0"/>
    <x v="0"/>
  </r>
  <r>
    <x v="741"/>
    <x v="1"/>
    <n v="16"/>
    <x v="7"/>
    <x v="0"/>
    <n v="15"/>
    <x v="8"/>
    <x v="1"/>
    <x v="734"/>
    <x v="0"/>
    <s v="Yes"/>
    <x v="120"/>
    <n v="4.99"/>
    <n v="3.8"/>
    <s v="Good"/>
    <x v="1"/>
    <x v="0"/>
  </r>
  <r>
    <x v="742"/>
    <x v="1"/>
    <n v="16"/>
    <x v="0"/>
    <x v="1"/>
    <n v="26"/>
    <x v="29"/>
    <x v="0"/>
    <x v="735"/>
    <x v="1"/>
    <s v="No"/>
    <x v="42"/>
    <n v="4.68"/>
    <n v="3.57"/>
    <s v="Good"/>
    <x v="1"/>
    <x v="0"/>
  </r>
  <r>
    <x v="743"/>
    <x v="0"/>
    <n v="17"/>
    <x v="5"/>
    <x v="1"/>
    <n v="17"/>
    <x v="33"/>
    <x v="3"/>
    <x v="736"/>
    <x v="0"/>
    <s v="No"/>
    <x v="127"/>
    <n v="4.88"/>
    <n v="3.34"/>
    <s v="Average"/>
    <x v="1"/>
    <x v="1"/>
  </r>
  <r>
    <x v="744"/>
    <x v="0"/>
    <n v="16"/>
    <x v="5"/>
    <x v="1"/>
    <n v="19"/>
    <x v="31"/>
    <x v="1"/>
    <x v="737"/>
    <x v="0"/>
    <s v="Yes"/>
    <x v="56"/>
    <n v="3.79"/>
    <n v="3.67"/>
    <s v="Good"/>
    <x v="1"/>
    <x v="1"/>
  </r>
  <r>
    <x v="745"/>
    <x v="1"/>
    <n v="16"/>
    <x v="2"/>
    <x v="1"/>
    <n v="16"/>
    <x v="32"/>
    <x v="3"/>
    <x v="738"/>
    <x v="1"/>
    <s v="No"/>
    <x v="121"/>
    <n v="4.9400000000000004"/>
    <n v="4.22"/>
    <s v="Good"/>
    <x v="1"/>
    <x v="1"/>
  </r>
  <r>
    <x v="746"/>
    <x v="0"/>
    <n v="18"/>
    <x v="5"/>
    <x v="0"/>
    <n v="26"/>
    <x v="34"/>
    <x v="2"/>
    <x v="739"/>
    <x v="1"/>
    <s v="Yes"/>
    <x v="9"/>
    <n v="3.71"/>
    <n v="4.1500000000000004"/>
    <s v="Good"/>
    <x v="1"/>
    <x v="1"/>
  </r>
  <r>
    <x v="747"/>
    <x v="0"/>
    <n v="15"/>
    <x v="6"/>
    <x v="0"/>
    <n v="25"/>
    <x v="26"/>
    <x v="3"/>
    <x v="740"/>
    <x v="0"/>
    <s v="No"/>
    <x v="10"/>
    <n v="4.26"/>
    <n v="3.33"/>
    <s v="Average"/>
    <x v="1"/>
    <x v="0"/>
  </r>
  <r>
    <x v="748"/>
    <x v="0"/>
    <n v="17"/>
    <x v="2"/>
    <x v="1"/>
    <n v="26"/>
    <x v="17"/>
    <x v="3"/>
    <x v="741"/>
    <x v="1"/>
    <s v="No"/>
    <x v="25"/>
    <n v="4.74"/>
    <n v="3.25"/>
    <s v="Average"/>
    <x v="1"/>
    <x v="1"/>
  </r>
  <r>
    <x v="749"/>
    <x v="1"/>
    <n v="17"/>
    <x v="2"/>
    <x v="0"/>
    <n v="15"/>
    <x v="32"/>
    <x v="2"/>
    <x v="742"/>
    <x v="0"/>
    <s v="No"/>
    <x v="141"/>
    <n v="4.0199999999999996"/>
    <n v="3.05"/>
    <s v="Average"/>
    <x v="1"/>
    <x v="1"/>
  </r>
  <r>
    <x v="750"/>
    <x v="1"/>
    <n v="18"/>
    <x v="1"/>
    <x v="1"/>
    <n v="11"/>
    <x v="26"/>
    <x v="0"/>
    <x v="743"/>
    <x v="1"/>
    <s v="Yes"/>
    <x v="126"/>
    <n v="4.1399999999999997"/>
    <n v="3.02"/>
    <s v="Average"/>
    <x v="0"/>
    <x v="1"/>
  </r>
  <r>
    <x v="751"/>
    <x v="0"/>
    <n v="18"/>
    <x v="5"/>
    <x v="1"/>
    <n v="9"/>
    <x v="34"/>
    <x v="1"/>
    <x v="744"/>
    <x v="1"/>
    <s v="Yes"/>
    <x v="197"/>
    <n v="3.69"/>
    <n v="4.76"/>
    <s v="Excellent"/>
    <x v="0"/>
    <x v="0"/>
  </r>
  <r>
    <x v="752"/>
    <x v="1"/>
    <n v="16"/>
    <x v="0"/>
    <x v="1"/>
    <n v="21"/>
    <x v="17"/>
    <x v="2"/>
    <x v="745"/>
    <x v="1"/>
    <s v="No"/>
    <x v="17"/>
    <n v="3.68"/>
    <n v="3.09"/>
    <s v="Average"/>
    <x v="1"/>
    <x v="1"/>
  </r>
  <r>
    <x v="753"/>
    <x v="1"/>
    <n v="17"/>
    <x v="2"/>
    <x v="1"/>
    <n v="28"/>
    <x v="34"/>
    <x v="3"/>
    <x v="746"/>
    <x v="1"/>
    <s v="Yes"/>
    <x v="127"/>
    <n v="4.43"/>
    <n v="4.46"/>
    <s v="Good"/>
    <x v="1"/>
    <x v="0"/>
  </r>
  <r>
    <x v="754"/>
    <x v="1"/>
    <n v="15"/>
    <x v="3"/>
    <x v="0"/>
    <n v="24"/>
    <x v="11"/>
    <x v="1"/>
    <x v="747"/>
    <x v="0"/>
    <s v="No"/>
    <x v="5"/>
    <n v="4.51"/>
    <n v="4.74"/>
    <s v="Excellent"/>
    <x v="1"/>
    <x v="0"/>
  </r>
  <r>
    <x v="755"/>
    <x v="1"/>
    <n v="18"/>
    <x v="0"/>
    <x v="1"/>
    <n v="13"/>
    <x v="27"/>
    <x v="2"/>
    <x v="748"/>
    <x v="1"/>
    <s v="No"/>
    <x v="117"/>
    <n v="4.67"/>
    <n v="3.2"/>
    <s v="Average"/>
    <x v="0"/>
    <x v="1"/>
  </r>
  <r>
    <x v="756"/>
    <x v="1"/>
    <n v="15"/>
    <x v="6"/>
    <x v="1"/>
    <n v="18"/>
    <x v="35"/>
    <x v="1"/>
    <x v="749"/>
    <x v="1"/>
    <s v="Yes"/>
    <x v="45"/>
    <n v="4.34"/>
    <n v="3.87"/>
    <s v="Good"/>
    <x v="1"/>
    <x v="1"/>
  </r>
  <r>
    <x v="757"/>
    <x v="0"/>
    <n v="15"/>
    <x v="1"/>
    <x v="0"/>
    <n v="16"/>
    <x v="1"/>
    <x v="1"/>
    <x v="750"/>
    <x v="1"/>
    <s v="Yes"/>
    <x v="123"/>
    <n v="4.47"/>
    <n v="4.92"/>
    <s v="Excellent"/>
    <x v="1"/>
    <x v="0"/>
  </r>
  <r>
    <x v="758"/>
    <x v="0"/>
    <n v="17"/>
    <x v="7"/>
    <x v="1"/>
    <n v="10"/>
    <x v="16"/>
    <x v="2"/>
    <x v="751"/>
    <x v="0"/>
    <s v="Yes"/>
    <x v="11"/>
    <n v="3.52"/>
    <n v="4.67"/>
    <s v="Excellent"/>
    <x v="0"/>
    <x v="0"/>
  </r>
  <r>
    <x v="759"/>
    <x v="0"/>
    <n v="17"/>
    <x v="0"/>
    <x v="1"/>
    <n v="21"/>
    <x v="17"/>
    <x v="1"/>
    <x v="752"/>
    <x v="0"/>
    <s v="Yes"/>
    <x v="161"/>
    <n v="3.74"/>
    <n v="3.98"/>
    <s v="Good"/>
    <x v="1"/>
    <x v="0"/>
  </r>
  <r>
    <x v="760"/>
    <x v="1"/>
    <n v="18"/>
    <x v="2"/>
    <x v="1"/>
    <n v="23"/>
    <x v="39"/>
    <x v="0"/>
    <x v="753"/>
    <x v="1"/>
    <s v="No"/>
    <x v="62"/>
    <n v="4.9800000000000004"/>
    <n v="4.53"/>
    <s v="Excellent"/>
    <x v="1"/>
    <x v="1"/>
  </r>
  <r>
    <x v="761"/>
    <x v="1"/>
    <n v="17"/>
    <x v="6"/>
    <x v="0"/>
    <n v="23"/>
    <x v="35"/>
    <x v="2"/>
    <x v="754"/>
    <x v="1"/>
    <s v="Yes"/>
    <x v="24"/>
    <n v="3.61"/>
    <n v="4.67"/>
    <s v="Excellent"/>
    <x v="1"/>
    <x v="0"/>
  </r>
  <r>
    <x v="762"/>
    <x v="0"/>
    <n v="17"/>
    <x v="4"/>
    <x v="1"/>
    <n v="20"/>
    <x v="29"/>
    <x v="0"/>
    <x v="755"/>
    <x v="1"/>
    <s v="Yes"/>
    <x v="95"/>
    <n v="4.5199999999999996"/>
    <n v="3.7"/>
    <s v="Good"/>
    <x v="1"/>
    <x v="1"/>
  </r>
  <r>
    <x v="763"/>
    <x v="1"/>
    <n v="17"/>
    <x v="6"/>
    <x v="0"/>
    <n v="16"/>
    <x v="16"/>
    <x v="3"/>
    <x v="756"/>
    <x v="1"/>
    <s v="No"/>
    <x v="70"/>
    <n v="3.76"/>
    <n v="4.78"/>
    <s v="Excellent"/>
    <x v="1"/>
    <x v="1"/>
  </r>
  <r>
    <x v="764"/>
    <x v="0"/>
    <n v="15"/>
    <x v="6"/>
    <x v="1"/>
    <n v="16"/>
    <x v="11"/>
    <x v="1"/>
    <x v="757"/>
    <x v="1"/>
    <s v="No"/>
    <x v="77"/>
    <n v="4.58"/>
    <n v="3.94"/>
    <s v="Good"/>
    <x v="1"/>
    <x v="1"/>
  </r>
  <r>
    <x v="765"/>
    <x v="0"/>
    <n v="18"/>
    <x v="1"/>
    <x v="1"/>
    <n v="24"/>
    <x v="32"/>
    <x v="3"/>
    <x v="758"/>
    <x v="1"/>
    <s v="No"/>
    <x v="198"/>
    <n v="4.5599999999999996"/>
    <n v="4.0599999999999996"/>
    <s v="Good"/>
    <x v="1"/>
    <x v="0"/>
  </r>
  <r>
    <x v="766"/>
    <x v="0"/>
    <n v="16"/>
    <x v="7"/>
    <x v="0"/>
    <n v="10"/>
    <x v="1"/>
    <x v="3"/>
    <x v="759"/>
    <x v="0"/>
    <s v="No"/>
    <x v="71"/>
    <n v="3.85"/>
    <n v="5"/>
    <s v="Excellent"/>
    <x v="0"/>
    <x v="0"/>
  </r>
  <r>
    <x v="767"/>
    <x v="1"/>
    <n v="15"/>
    <x v="4"/>
    <x v="1"/>
    <n v="27"/>
    <x v="3"/>
    <x v="1"/>
    <x v="760"/>
    <x v="1"/>
    <s v="Yes"/>
    <x v="189"/>
    <n v="3.9"/>
    <n v="4.6900000000000004"/>
    <s v="Excellent"/>
    <x v="1"/>
    <x v="1"/>
  </r>
  <r>
    <x v="768"/>
    <x v="1"/>
    <n v="17"/>
    <x v="5"/>
    <x v="1"/>
    <n v="8"/>
    <x v="29"/>
    <x v="2"/>
    <x v="761"/>
    <x v="1"/>
    <s v="Yes"/>
    <x v="83"/>
    <n v="4.4800000000000004"/>
    <n v="3.72"/>
    <s v="Good"/>
    <x v="0"/>
    <x v="1"/>
  </r>
  <r>
    <x v="769"/>
    <x v="0"/>
    <n v="15"/>
    <x v="5"/>
    <x v="0"/>
    <n v="10"/>
    <x v="38"/>
    <x v="1"/>
    <x v="762"/>
    <x v="1"/>
    <s v="No"/>
    <x v="46"/>
    <n v="4.09"/>
    <n v="3.02"/>
    <s v="Average"/>
    <x v="0"/>
    <x v="1"/>
  </r>
  <r>
    <x v="770"/>
    <x v="0"/>
    <n v="17"/>
    <x v="0"/>
    <x v="0"/>
    <n v="15"/>
    <x v="34"/>
    <x v="3"/>
    <x v="763"/>
    <x v="1"/>
    <s v="No"/>
    <x v="28"/>
    <n v="3.79"/>
    <n v="4.25"/>
    <s v="Good"/>
    <x v="1"/>
    <x v="1"/>
  </r>
  <r>
    <x v="771"/>
    <x v="0"/>
    <n v="17"/>
    <x v="6"/>
    <x v="0"/>
    <n v="5"/>
    <x v="37"/>
    <x v="3"/>
    <x v="764"/>
    <x v="1"/>
    <s v="Yes"/>
    <x v="27"/>
    <n v="4.5999999999999996"/>
    <n v="4.41"/>
    <s v="Good"/>
    <x v="0"/>
    <x v="0"/>
  </r>
  <r>
    <x v="772"/>
    <x v="0"/>
    <n v="15"/>
    <x v="3"/>
    <x v="0"/>
    <n v="28"/>
    <x v="35"/>
    <x v="2"/>
    <x v="765"/>
    <x v="1"/>
    <s v="Yes"/>
    <x v="166"/>
    <n v="3.73"/>
    <n v="4.3"/>
    <s v="Good"/>
    <x v="1"/>
    <x v="1"/>
  </r>
  <r>
    <x v="773"/>
    <x v="1"/>
    <n v="18"/>
    <x v="1"/>
    <x v="0"/>
    <n v="27"/>
    <x v="21"/>
    <x v="1"/>
    <x v="766"/>
    <x v="0"/>
    <s v="Yes"/>
    <x v="28"/>
    <n v="4.78"/>
    <n v="4.9400000000000004"/>
    <s v="Excellent"/>
    <x v="1"/>
    <x v="0"/>
  </r>
  <r>
    <x v="774"/>
    <x v="1"/>
    <n v="17"/>
    <x v="3"/>
    <x v="1"/>
    <n v="19"/>
    <x v="3"/>
    <x v="3"/>
    <x v="767"/>
    <x v="0"/>
    <s v="Yes"/>
    <x v="156"/>
    <n v="4.2699999999999996"/>
    <n v="4.7300000000000004"/>
    <s v="Excellent"/>
    <x v="1"/>
    <x v="0"/>
  </r>
  <r>
    <x v="775"/>
    <x v="0"/>
    <n v="18"/>
    <x v="1"/>
    <x v="0"/>
    <n v="15"/>
    <x v="12"/>
    <x v="0"/>
    <x v="768"/>
    <x v="0"/>
    <s v="Yes"/>
    <x v="130"/>
    <n v="3.66"/>
    <n v="3.9"/>
    <s v="Good"/>
    <x v="1"/>
    <x v="0"/>
  </r>
  <r>
    <x v="776"/>
    <x v="0"/>
    <n v="16"/>
    <x v="5"/>
    <x v="1"/>
    <n v="29"/>
    <x v="5"/>
    <x v="3"/>
    <x v="769"/>
    <x v="0"/>
    <s v="No"/>
    <x v="0"/>
    <n v="4.54"/>
    <n v="3.13"/>
    <s v="Average"/>
    <x v="1"/>
    <x v="1"/>
  </r>
  <r>
    <x v="777"/>
    <x v="1"/>
    <n v="17"/>
    <x v="0"/>
    <x v="1"/>
    <n v="23"/>
    <x v="32"/>
    <x v="3"/>
    <x v="770"/>
    <x v="0"/>
    <s v="No"/>
    <x v="88"/>
    <n v="4.28"/>
    <n v="3.95"/>
    <s v="Good"/>
    <x v="1"/>
    <x v="1"/>
  </r>
  <r>
    <x v="778"/>
    <x v="1"/>
    <n v="18"/>
    <x v="0"/>
    <x v="1"/>
    <n v="22"/>
    <x v="34"/>
    <x v="2"/>
    <x v="771"/>
    <x v="0"/>
    <s v="No"/>
    <x v="86"/>
    <n v="3.95"/>
    <n v="4.38"/>
    <s v="Good"/>
    <x v="1"/>
    <x v="0"/>
  </r>
  <r>
    <x v="779"/>
    <x v="0"/>
    <n v="18"/>
    <x v="0"/>
    <x v="0"/>
    <n v="21"/>
    <x v="23"/>
    <x v="0"/>
    <x v="772"/>
    <x v="1"/>
    <s v="No"/>
    <x v="32"/>
    <n v="4.13"/>
    <n v="4.22"/>
    <s v="Good"/>
    <x v="1"/>
    <x v="0"/>
  </r>
  <r>
    <x v="780"/>
    <x v="0"/>
    <n v="16"/>
    <x v="4"/>
    <x v="0"/>
    <n v="23"/>
    <x v="21"/>
    <x v="3"/>
    <x v="773"/>
    <x v="1"/>
    <s v="Yes"/>
    <x v="65"/>
    <n v="3.95"/>
    <n v="4.08"/>
    <s v="Good"/>
    <x v="1"/>
    <x v="1"/>
  </r>
  <r>
    <x v="781"/>
    <x v="0"/>
    <n v="18"/>
    <x v="7"/>
    <x v="1"/>
    <n v="25"/>
    <x v="16"/>
    <x v="3"/>
    <x v="774"/>
    <x v="1"/>
    <s v="No"/>
    <x v="33"/>
    <n v="3.89"/>
    <n v="3.94"/>
    <s v="Good"/>
    <x v="1"/>
    <x v="1"/>
  </r>
  <r>
    <x v="782"/>
    <x v="1"/>
    <n v="18"/>
    <x v="4"/>
    <x v="0"/>
    <n v="18"/>
    <x v="15"/>
    <x v="0"/>
    <x v="775"/>
    <x v="1"/>
    <s v="Yes"/>
    <x v="30"/>
    <n v="3.75"/>
    <n v="3.59"/>
    <s v="Good"/>
    <x v="1"/>
    <x v="1"/>
  </r>
  <r>
    <x v="783"/>
    <x v="1"/>
    <n v="16"/>
    <x v="2"/>
    <x v="0"/>
    <n v="22"/>
    <x v="34"/>
    <x v="1"/>
    <x v="776"/>
    <x v="1"/>
    <s v="Yes"/>
    <x v="125"/>
    <n v="4.04"/>
    <n v="3.55"/>
    <s v="Good"/>
    <x v="1"/>
    <x v="1"/>
  </r>
  <r>
    <x v="784"/>
    <x v="1"/>
    <n v="17"/>
    <x v="2"/>
    <x v="0"/>
    <n v="23"/>
    <x v="8"/>
    <x v="1"/>
    <x v="777"/>
    <x v="1"/>
    <s v="Yes"/>
    <x v="40"/>
    <n v="3.88"/>
    <n v="4"/>
    <s v="Good"/>
    <x v="1"/>
    <x v="1"/>
  </r>
  <r>
    <x v="785"/>
    <x v="0"/>
    <n v="18"/>
    <x v="3"/>
    <x v="0"/>
    <n v="19"/>
    <x v="8"/>
    <x v="3"/>
    <x v="778"/>
    <x v="0"/>
    <s v="Yes"/>
    <x v="7"/>
    <n v="4.53"/>
    <n v="3.32"/>
    <s v="Average"/>
    <x v="1"/>
    <x v="0"/>
  </r>
  <r>
    <x v="786"/>
    <x v="0"/>
    <n v="18"/>
    <x v="7"/>
    <x v="1"/>
    <n v="19"/>
    <x v="20"/>
    <x v="3"/>
    <x v="779"/>
    <x v="1"/>
    <s v="Yes"/>
    <x v="10"/>
    <n v="4.53"/>
    <n v="3.68"/>
    <s v="Good"/>
    <x v="1"/>
    <x v="0"/>
  </r>
  <r>
    <x v="787"/>
    <x v="1"/>
    <n v="18"/>
    <x v="5"/>
    <x v="1"/>
    <n v="8"/>
    <x v="38"/>
    <x v="1"/>
    <x v="780"/>
    <x v="0"/>
    <s v="Yes"/>
    <x v="123"/>
    <n v="4.25"/>
    <n v="3.65"/>
    <s v="Good"/>
    <x v="0"/>
    <x v="0"/>
  </r>
  <r>
    <x v="788"/>
    <x v="1"/>
    <n v="15"/>
    <x v="7"/>
    <x v="0"/>
    <n v="11"/>
    <x v="29"/>
    <x v="2"/>
    <x v="781"/>
    <x v="0"/>
    <s v="Yes"/>
    <x v="54"/>
    <n v="4.67"/>
    <n v="4.17"/>
    <s v="Good"/>
    <x v="0"/>
    <x v="1"/>
  </r>
  <r>
    <x v="789"/>
    <x v="0"/>
    <n v="16"/>
    <x v="1"/>
    <x v="1"/>
    <n v="17"/>
    <x v="0"/>
    <x v="0"/>
    <x v="782"/>
    <x v="1"/>
    <s v="No"/>
    <x v="148"/>
    <n v="4.76"/>
    <n v="3.13"/>
    <s v="Average"/>
    <x v="1"/>
    <x v="1"/>
  </r>
  <r>
    <x v="790"/>
    <x v="1"/>
    <n v="15"/>
    <x v="2"/>
    <x v="0"/>
    <n v="7"/>
    <x v="4"/>
    <x v="0"/>
    <x v="783"/>
    <x v="1"/>
    <s v="Yes"/>
    <x v="144"/>
    <n v="4.37"/>
    <n v="4.66"/>
    <s v="Excellent"/>
    <x v="0"/>
    <x v="1"/>
  </r>
  <r>
    <x v="791"/>
    <x v="1"/>
    <n v="16"/>
    <x v="6"/>
    <x v="0"/>
    <n v="20"/>
    <x v="31"/>
    <x v="2"/>
    <x v="784"/>
    <x v="1"/>
    <s v="No"/>
    <x v="18"/>
    <n v="4.43"/>
    <n v="4.12"/>
    <s v="Good"/>
    <x v="1"/>
    <x v="1"/>
  </r>
  <r>
    <x v="792"/>
    <x v="0"/>
    <n v="17"/>
    <x v="6"/>
    <x v="1"/>
    <n v="13"/>
    <x v="14"/>
    <x v="2"/>
    <x v="785"/>
    <x v="1"/>
    <s v="No"/>
    <x v="101"/>
    <n v="3.92"/>
    <n v="4.34"/>
    <s v="Good"/>
    <x v="0"/>
    <x v="0"/>
  </r>
  <r>
    <x v="793"/>
    <x v="1"/>
    <n v="17"/>
    <x v="5"/>
    <x v="1"/>
    <n v="12"/>
    <x v="20"/>
    <x v="2"/>
    <x v="786"/>
    <x v="1"/>
    <s v="Yes"/>
    <x v="129"/>
    <n v="4.84"/>
    <n v="4.41"/>
    <s v="Good"/>
    <x v="0"/>
    <x v="1"/>
  </r>
  <r>
    <x v="794"/>
    <x v="0"/>
    <n v="18"/>
    <x v="1"/>
    <x v="1"/>
    <n v="24"/>
    <x v="37"/>
    <x v="2"/>
    <x v="787"/>
    <x v="1"/>
    <s v="Yes"/>
    <x v="179"/>
    <n v="3.54"/>
    <n v="3.58"/>
    <s v="Good"/>
    <x v="1"/>
    <x v="0"/>
  </r>
  <r>
    <x v="795"/>
    <x v="0"/>
    <n v="16"/>
    <x v="3"/>
    <x v="0"/>
    <n v="17"/>
    <x v="28"/>
    <x v="2"/>
    <x v="788"/>
    <x v="1"/>
    <s v="No"/>
    <x v="78"/>
    <n v="4.0199999999999996"/>
    <n v="3.94"/>
    <s v="Good"/>
    <x v="1"/>
    <x v="1"/>
  </r>
  <r>
    <x v="796"/>
    <x v="0"/>
    <n v="17"/>
    <x v="4"/>
    <x v="1"/>
    <n v="21"/>
    <x v="23"/>
    <x v="2"/>
    <x v="789"/>
    <x v="0"/>
    <s v="No"/>
    <x v="94"/>
    <n v="4.58"/>
    <n v="4.91"/>
    <s v="Excellent"/>
    <x v="1"/>
    <x v="0"/>
  </r>
  <r>
    <x v="797"/>
    <x v="0"/>
    <n v="16"/>
    <x v="1"/>
    <x v="0"/>
    <n v="21"/>
    <x v="30"/>
    <x v="0"/>
    <x v="790"/>
    <x v="1"/>
    <s v="No"/>
    <x v="171"/>
    <n v="3.62"/>
    <n v="4.53"/>
    <s v="Excellent"/>
    <x v="1"/>
    <x v="0"/>
  </r>
  <r>
    <x v="798"/>
    <x v="0"/>
    <n v="17"/>
    <x v="6"/>
    <x v="1"/>
    <n v="21"/>
    <x v="9"/>
    <x v="2"/>
    <x v="791"/>
    <x v="1"/>
    <s v="No"/>
    <x v="37"/>
    <n v="3.77"/>
    <n v="4.9400000000000004"/>
    <s v="Excellent"/>
    <x v="1"/>
    <x v="0"/>
  </r>
  <r>
    <x v="799"/>
    <x v="0"/>
    <n v="15"/>
    <x v="6"/>
    <x v="1"/>
    <n v="5"/>
    <x v="31"/>
    <x v="1"/>
    <x v="792"/>
    <x v="0"/>
    <s v="Yes"/>
    <x v="141"/>
    <n v="4.38"/>
    <n v="4.49"/>
    <s v="Good"/>
    <x v="0"/>
    <x v="0"/>
  </r>
  <r>
    <x v="800"/>
    <x v="0"/>
    <n v="17"/>
    <x v="3"/>
    <x v="0"/>
    <n v="12"/>
    <x v="18"/>
    <x v="2"/>
    <x v="793"/>
    <x v="1"/>
    <s v="Yes"/>
    <x v="12"/>
    <n v="4.34"/>
    <n v="3.35"/>
    <s v="Average"/>
    <x v="0"/>
    <x v="0"/>
  </r>
  <r>
    <x v="801"/>
    <x v="1"/>
    <n v="15"/>
    <x v="2"/>
    <x v="0"/>
    <n v="23"/>
    <x v="38"/>
    <x v="2"/>
    <x v="794"/>
    <x v="1"/>
    <s v="Yes"/>
    <x v="24"/>
    <n v="4.6100000000000003"/>
    <n v="3.13"/>
    <s v="Average"/>
    <x v="1"/>
    <x v="1"/>
  </r>
  <r>
    <x v="802"/>
    <x v="0"/>
    <n v="17"/>
    <x v="1"/>
    <x v="0"/>
    <n v="10"/>
    <x v="12"/>
    <x v="0"/>
    <x v="795"/>
    <x v="0"/>
    <s v="No"/>
    <x v="196"/>
    <n v="4.72"/>
    <n v="4.16"/>
    <s v="Good"/>
    <x v="0"/>
    <x v="0"/>
  </r>
  <r>
    <x v="803"/>
    <x v="0"/>
    <n v="18"/>
    <x v="1"/>
    <x v="0"/>
    <n v="7"/>
    <x v="14"/>
    <x v="0"/>
    <x v="796"/>
    <x v="1"/>
    <s v="Yes"/>
    <x v="189"/>
    <n v="3.69"/>
    <n v="3.72"/>
    <s v="Good"/>
    <x v="0"/>
    <x v="1"/>
  </r>
  <r>
    <x v="804"/>
    <x v="1"/>
    <n v="15"/>
    <x v="6"/>
    <x v="0"/>
    <n v="9"/>
    <x v="20"/>
    <x v="2"/>
    <x v="797"/>
    <x v="1"/>
    <s v="No"/>
    <x v="24"/>
    <n v="3.53"/>
    <n v="3.55"/>
    <s v="Good"/>
    <x v="0"/>
    <x v="1"/>
  </r>
  <r>
    <x v="805"/>
    <x v="1"/>
    <n v="17"/>
    <x v="4"/>
    <x v="0"/>
    <n v="17"/>
    <x v="17"/>
    <x v="0"/>
    <x v="798"/>
    <x v="1"/>
    <s v="Yes"/>
    <x v="77"/>
    <n v="4.53"/>
    <n v="4.6100000000000003"/>
    <s v="Excellent"/>
    <x v="1"/>
    <x v="1"/>
  </r>
  <r>
    <x v="806"/>
    <x v="1"/>
    <n v="18"/>
    <x v="5"/>
    <x v="0"/>
    <n v="19"/>
    <x v="38"/>
    <x v="3"/>
    <x v="799"/>
    <x v="1"/>
    <s v="No"/>
    <x v="50"/>
    <n v="3.95"/>
    <n v="3.73"/>
    <s v="Good"/>
    <x v="1"/>
    <x v="1"/>
  </r>
  <r>
    <x v="807"/>
    <x v="0"/>
    <n v="15"/>
    <x v="0"/>
    <x v="0"/>
    <n v="18"/>
    <x v="7"/>
    <x v="0"/>
    <x v="800"/>
    <x v="1"/>
    <s v="Yes"/>
    <x v="199"/>
    <n v="4.4400000000000004"/>
    <n v="3.63"/>
    <s v="Good"/>
    <x v="1"/>
    <x v="1"/>
  </r>
  <r>
    <x v="808"/>
    <x v="1"/>
    <n v="18"/>
    <x v="5"/>
    <x v="1"/>
    <n v="27"/>
    <x v="34"/>
    <x v="0"/>
    <x v="801"/>
    <x v="1"/>
    <s v="Yes"/>
    <x v="183"/>
    <n v="3.73"/>
    <n v="4.7"/>
    <s v="Excellent"/>
    <x v="1"/>
    <x v="0"/>
  </r>
  <r>
    <x v="809"/>
    <x v="0"/>
    <n v="16"/>
    <x v="1"/>
    <x v="0"/>
    <n v="20"/>
    <x v="34"/>
    <x v="0"/>
    <x v="802"/>
    <x v="0"/>
    <s v="No"/>
    <x v="34"/>
    <n v="4.2"/>
    <n v="4.6900000000000004"/>
    <s v="Excellent"/>
    <x v="1"/>
    <x v="0"/>
  </r>
  <r>
    <x v="810"/>
    <x v="0"/>
    <n v="16"/>
    <x v="5"/>
    <x v="0"/>
    <n v="22"/>
    <x v="29"/>
    <x v="0"/>
    <x v="803"/>
    <x v="1"/>
    <s v="No"/>
    <x v="149"/>
    <n v="4.26"/>
    <n v="3.71"/>
    <s v="Good"/>
    <x v="1"/>
    <x v="1"/>
  </r>
  <r>
    <x v="811"/>
    <x v="0"/>
    <n v="15"/>
    <x v="6"/>
    <x v="1"/>
    <n v="26"/>
    <x v="8"/>
    <x v="1"/>
    <x v="804"/>
    <x v="1"/>
    <s v="No"/>
    <x v="2"/>
    <n v="4.38"/>
    <n v="4.66"/>
    <s v="Excellent"/>
    <x v="1"/>
    <x v="0"/>
  </r>
  <r>
    <x v="812"/>
    <x v="0"/>
    <n v="17"/>
    <x v="6"/>
    <x v="0"/>
    <n v="26"/>
    <x v="29"/>
    <x v="1"/>
    <x v="805"/>
    <x v="0"/>
    <s v="No"/>
    <x v="33"/>
    <n v="4.2699999999999996"/>
    <n v="4.7"/>
    <s v="Excellent"/>
    <x v="1"/>
    <x v="0"/>
  </r>
  <r>
    <x v="813"/>
    <x v="1"/>
    <n v="15"/>
    <x v="3"/>
    <x v="1"/>
    <n v="15"/>
    <x v="15"/>
    <x v="1"/>
    <x v="806"/>
    <x v="0"/>
    <s v="No"/>
    <x v="29"/>
    <n v="4.24"/>
    <n v="3.85"/>
    <s v="Good"/>
    <x v="1"/>
    <x v="0"/>
  </r>
  <r>
    <x v="814"/>
    <x v="1"/>
    <n v="18"/>
    <x v="1"/>
    <x v="1"/>
    <n v="7"/>
    <x v="31"/>
    <x v="2"/>
    <x v="807"/>
    <x v="1"/>
    <s v="Yes"/>
    <x v="127"/>
    <n v="4"/>
    <n v="3.13"/>
    <s v="Average"/>
    <x v="0"/>
    <x v="1"/>
  </r>
  <r>
    <x v="815"/>
    <x v="0"/>
    <n v="17"/>
    <x v="3"/>
    <x v="0"/>
    <n v="26"/>
    <x v="2"/>
    <x v="2"/>
    <x v="808"/>
    <x v="0"/>
    <s v="No"/>
    <x v="66"/>
    <n v="3.61"/>
    <n v="3"/>
    <s v="Average"/>
    <x v="1"/>
    <x v="1"/>
  </r>
  <r>
    <x v="816"/>
    <x v="0"/>
    <n v="16"/>
    <x v="1"/>
    <x v="1"/>
    <n v="14"/>
    <x v="0"/>
    <x v="3"/>
    <x v="809"/>
    <x v="1"/>
    <s v="Yes"/>
    <x v="4"/>
    <n v="3.63"/>
    <n v="4.05"/>
    <s v="Good"/>
    <x v="0"/>
    <x v="1"/>
  </r>
  <r>
    <x v="817"/>
    <x v="0"/>
    <n v="17"/>
    <x v="0"/>
    <x v="0"/>
    <n v="14"/>
    <x v="19"/>
    <x v="1"/>
    <x v="810"/>
    <x v="1"/>
    <s v="Yes"/>
    <x v="71"/>
    <n v="4.1500000000000004"/>
    <n v="3.69"/>
    <s v="Good"/>
    <x v="0"/>
    <x v="0"/>
  </r>
  <r>
    <x v="818"/>
    <x v="1"/>
    <n v="16"/>
    <x v="0"/>
    <x v="1"/>
    <n v="25"/>
    <x v="37"/>
    <x v="2"/>
    <x v="811"/>
    <x v="0"/>
    <s v="Yes"/>
    <x v="44"/>
    <n v="4.03"/>
    <n v="4.99"/>
    <s v="Excellent"/>
    <x v="1"/>
    <x v="0"/>
  </r>
  <r>
    <x v="819"/>
    <x v="0"/>
    <n v="17"/>
    <x v="2"/>
    <x v="1"/>
    <n v="20"/>
    <x v="36"/>
    <x v="0"/>
    <x v="812"/>
    <x v="1"/>
    <s v="Yes"/>
    <x v="38"/>
    <n v="4.2699999999999996"/>
    <n v="4.54"/>
    <s v="Excellent"/>
    <x v="1"/>
    <x v="0"/>
  </r>
  <r>
    <x v="820"/>
    <x v="0"/>
    <n v="17"/>
    <x v="1"/>
    <x v="1"/>
    <n v="16"/>
    <x v="4"/>
    <x v="0"/>
    <x v="813"/>
    <x v="1"/>
    <s v="Yes"/>
    <x v="42"/>
    <n v="3.96"/>
    <n v="4.5199999999999996"/>
    <s v="Excellent"/>
    <x v="1"/>
    <x v="0"/>
  </r>
  <r>
    <x v="821"/>
    <x v="1"/>
    <n v="17"/>
    <x v="4"/>
    <x v="0"/>
    <n v="6"/>
    <x v="20"/>
    <x v="1"/>
    <x v="814"/>
    <x v="0"/>
    <s v="No"/>
    <x v="198"/>
    <n v="4.53"/>
    <n v="4.91"/>
    <s v="Excellent"/>
    <x v="0"/>
    <x v="0"/>
  </r>
  <r>
    <x v="822"/>
    <x v="1"/>
    <n v="18"/>
    <x v="5"/>
    <x v="0"/>
    <n v="13"/>
    <x v="5"/>
    <x v="3"/>
    <x v="815"/>
    <x v="0"/>
    <s v="No"/>
    <x v="107"/>
    <n v="4.8"/>
    <n v="4.78"/>
    <s v="Excellent"/>
    <x v="0"/>
    <x v="0"/>
  </r>
  <r>
    <x v="823"/>
    <x v="0"/>
    <n v="18"/>
    <x v="1"/>
    <x v="1"/>
    <n v="28"/>
    <x v="12"/>
    <x v="3"/>
    <x v="816"/>
    <x v="0"/>
    <s v="Yes"/>
    <x v="62"/>
    <n v="3.95"/>
    <n v="3.64"/>
    <s v="Good"/>
    <x v="1"/>
    <x v="1"/>
  </r>
  <r>
    <x v="824"/>
    <x v="1"/>
    <n v="15"/>
    <x v="7"/>
    <x v="1"/>
    <n v="7"/>
    <x v="19"/>
    <x v="0"/>
    <x v="817"/>
    <x v="0"/>
    <s v="Yes"/>
    <x v="18"/>
    <n v="3.79"/>
    <n v="3.33"/>
    <s v="Average"/>
    <x v="0"/>
    <x v="1"/>
  </r>
  <r>
    <x v="825"/>
    <x v="1"/>
    <n v="15"/>
    <x v="2"/>
    <x v="0"/>
    <n v="28"/>
    <x v="26"/>
    <x v="3"/>
    <x v="818"/>
    <x v="1"/>
    <s v="No"/>
    <x v="183"/>
    <n v="3.67"/>
    <n v="4.49"/>
    <s v="Good"/>
    <x v="1"/>
    <x v="1"/>
  </r>
  <r>
    <x v="826"/>
    <x v="0"/>
    <n v="16"/>
    <x v="7"/>
    <x v="0"/>
    <n v="29"/>
    <x v="38"/>
    <x v="1"/>
    <x v="819"/>
    <x v="0"/>
    <s v="No"/>
    <x v="117"/>
    <n v="4.42"/>
    <n v="3.76"/>
    <s v="Good"/>
    <x v="1"/>
    <x v="0"/>
  </r>
  <r>
    <x v="827"/>
    <x v="1"/>
    <n v="18"/>
    <x v="6"/>
    <x v="1"/>
    <n v="19"/>
    <x v="3"/>
    <x v="0"/>
    <x v="820"/>
    <x v="0"/>
    <s v="Yes"/>
    <x v="107"/>
    <n v="4.17"/>
    <n v="3.95"/>
    <s v="Good"/>
    <x v="1"/>
    <x v="1"/>
  </r>
  <r>
    <x v="828"/>
    <x v="0"/>
    <n v="16"/>
    <x v="0"/>
    <x v="1"/>
    <n v="7"/>
    <x v="18"/>
    <x v="2"/>
    <x v="821"/>
    <x v="0"/>
    <s v="No"/>
    <x v="21"/>
    <n v="3.78"/>
    <n v="4.26"/>
    <s v="Good"/>
    <x v="0"/>
    <x v="0"/>
  </r>
  <r>
    <x v="829"/>
    <x v="1"/>
    <n v="15"/>
    <x v="5"/>
    <x v="0"/>
    <n v="23"/>
    <x v="28"/>
    <x v="2"/>
    <x v="822"/>
    <x v="0"/>
    <s v="No"/>
    <x v="26"/>
    <n v="4.4800000000000004"/>
    <n v="4.82"/>
    <s v="Excellent"/>
    <x v="1"/>
    <x v="0"/>
  </r>
  <r>
    <x v="830"/>
    <x v="0"/>
    <n v="16"/>
    <x v="1"/>
    <x v="0"/>
    <n v="22"/>
    <x v="5"/>
    <x v="3"/>
    <x v="823"/>
    <x v="0"/>
    <s v="No"/>
    <x v="34"/>
    <n v="3.72"/>
    <n v="3.84"/>
    <s v="Good"/>
    <x v="1"/>
    <x v="1"/>
  </r>
  <r>
    <x v="831"/>
    <x v="0"/>
    <n v="15"/>
    <x v="7"/>
    <x v="0"/>
    <n v="12"/>
    <x v="10"/>
    <x v="0"/>
    <x v="824"/>
    <x v="1"/>
    <s v="Yes"/>
    <x v="10"/>
    <n v="4.33"/>
    <n v="4.57"/>
    <s v="Excellent"/>
    <x v="0"/>
    <x v="0"/>
  </r>
  <r>
    <x v="832"/>
    <x v="0"/>
    <n v="18"/>
    <x v="5"/>
    <x v="0"/>
    <n v="21"/>
    <x v="11"/>
    <x v="0"/>
    <x v="825"/>
    <x v="0"/>
    <s v="No"/>
    <x v="187"/>
    <n v="4.29"/>
    <n v="3.54"/>
    <s v="Good"/>
    <x v="1"/>
    <x v="1"/>
  </r>
  <r>
    <x v="833"/>
    <x v="1"/>
    <n v="17"/>
    <x v="6"/>
    <x v="0"/>
    <n v="12"/>
    <x v="37"/>
    <x v="2"/>
    <x v="826"/>
    <x v="1"/>
    <s v="Yes"/>
    <x v="153"/>
    <n v="4.5999999999999996"/>
    <n v="4.4000000000000004"/>
    <s v="Good"/>
    <x v="0"/>
    <x v="0"/>
  </r>
  <r>
    <x v="834"/>
    <x v="0"/>
    <n v="18"/>
    <x v="0"/>
    <x v="1"/>
    <n v="11"/>
    <x v="1"/>
    <x v="0"/>
    <x v="827"/>
    <x v="0"/>
    <s v="Yes"/>
    <x v="136"/>
    <n v="3.58"/>
    <n v="3"/>
    <s v="Average"/>
    <x v="0"/>
    <x v="1"/>
  </r>
  <r>
    <x v="835"/>
    <x v="1"/>
    <n v="16"/>
    <x v="4"/>
    <x v="0"/>
    <n v="11"/>
    <x v="13"/>
    <x v="0"/>
    <x v="828"/>
    <x v="0"/>
    <s v="Yes"/>
    <x v="16"/>
    <n v="4.83"/>
    <n v="4.74"/>
    <s v="Excellent"/>
    <x v="0"/>
    <x v="0"/>
  </r>
  <r>
    <x v="836"/>
    <x v="0"/>
    <n v="16"/>
    <x v="2"/>
    <x v="1"/>
    <n v="7"/>
    <x v="10"/>
    <x v="0"/>
    <x v="829"/>
    <x v="0"/>
    <s v="Yes"/>
    <x v="154"/>
    <n v="4.55"/>
    <n v="3.06"/>
    <s v="Average"/>
    <x v="0"/>
    <x v="1"/>
  </r>
  <r>
    <x v="837"/>
    <x v="0"/>
    <n v="18"/>
    <x v="5"/>
    <x v="0"/>
    <n v="5"/>
    <x v="8"/>
    <x v="3"/>
    <x v="830"/>
    <x v="0"/>
    <s v="Yes"/>
    <x v="18"/>
    <n v="3.82"/>
    <n v="4.43"/>
    <s v="Good"/>
    <x v="0"/>
    <x v="1"/>
  </r>
  <r>
    <x v="838"/>
    <x v="1"/>
    <n v="18"/>
    <x v="5"/>
    <x v="1"/>
    <n v="8"/>
    <x v="34"/>
    <x v="0"/>
    <x v="831"/>
    <x v="0"/>
    <s v="No"/>
    <x v="145"/>
    <n v="3.78"/>
    <n v="3.09"/>
    <s v="Average"/>
    <x v="0"/>
    <x v="1"/>
  </r>
  <r>
    <x v="839"/>
    <x v="0"/>
    <n v="15"/>
    <x v="4"/>
    <x v="0"/>
    <n v="29"/>
    <x v="16"/>
    <x v="1"/>
    <x v="832"/>
    <x v="0"/>
    <s v="Yes"/>
    <x v="110"/>
    <n v="4.1500000000000004"/>
    <n v="3.53"/>
    <s v="Good"/>
    <x v="1"/>
    <x v="1"/>
  </r>
  <r>
    <x v="840"/>
    <x v="0"/>
    <n v="16"/>
    <x v="5"/>
    <x v="0"/>
    <n v="9"/>
    <x v="12"/>
    <x v="3"/>
    <x v="833"/>
    <x v="0"/>
    <s v="Yes"/>
    <x v="58"/>
    <n v="4.7300000000000004"/>
    <n v="3.99"/>
    <s v="Good"/>
    <x v="0"/>
    <x v="0"/>
  </r>
  <r>
    <x v="841"/>
    <x v="1"/>
    <n v="16"/>
    <x v="6"/>
    <x v="1"/>
    <n v="5"/>
    <x v="5"/>
    <x v="0"/>
    <x v="834"/>
    <x v="0"/>
    <s v="Yes"/>
    <x v="57"/>
    <n v="4.76"/>
    <n v="3.84"/>
    <s v="Good"/>
    <x v="0"/>
    <x v="1"/>
  </r>
  <r>
    <x v="842"/>
    <x v="0"/>
    <n v="18"/>
    <x v="6"/>
    <x v="1"/>
    <n v="19"/>
    <x v="12"/>
    <x v="0"/>
    <x v="835"/>
    <x v="1"/>
    <s v="No"/>
    <x v="9"/>
    <n v="4.28"/>
    <n v="3.38"/>
    <s v="Average"/>
    <x v="1"/>
    <x v="1"/>
  </r>
  <r>
    <x v="843"/>
    <x v="0"/>
    <n v="17"/>
    <x v="4"/>
    <x v="0"/>
    <n v="9"/>
    <x v="30"/>
    <x v="1"/>
    <x v="836"/>
    <x v="0"/>
    <s v="No"/>
    <x v="162"/>
    <n v="4.79"/>
    <n v="3.67"/>
    <s v="Good"/>
    <x v="0"/>
    <x v="1"/>
  </r>
  <r>
    <x v="844"/>
    <x v="0"/>
    <n v="16"/>
    <x v="2"/>
    <x v="0"/>
    <n v="17"/>
    <x v="34"/>
    <x v="3"/>
    <x v="837"/>
    <x v="1"/>
    <s v="No"/>
    <x v="70"/>
    <n v="3.51"/>
    <n v="4.46"/>
    <s v="Good"/>
    <x v="1"/>
    <x v="1"/>
  </r>
  <r>
    <x v="845"/>
    <x v="0"/>
    <n v="17"/>
    <x v="1"/>
    <x v="0"/>
    <n v="12"/>
    <x v="1"/>
    <x v="2"/>
    <x v="838"/>
    <x v="0"/>
    <s v="No"/>
    <x v="116"/>
    <n v="3.55"/>
    <n v="4.34"/>
    <s v="Good"/>
    <x v="0"/>
    <x v="1"/>
  </r>
  <r>
    <x v="846"/>
    <x v="1"/>
    <n v="18"/>
    <x v="7"/>
    <x v="0"/>
    <n v="12"/>
    <x v="21"/>
    <x v="2"/>
    <x v="839"/>
    <x v="1"/>
    <s v="No"/>
    <x v="134"/>
    <n v="4.87"/>
    <n v="3.14"/>
    <s v="Average"/>
    <x v="0"/>
    <x v="1"/>
  </r>
  <r>
    <x v="847"/>
    <x v="1"/>
    <n v="18"/>
    <x v="1"/>
    <x v="0"/>
    <n v="9"/>
    <x v="25"/>
    <x v="3"/>
    <x v="840"/>
    <x v="0"/>
    <s v="No"/>
    <x v="13"/>
    <n v="4.66"/>
    <n v="4.49"/>
    <s v="Good"/>
    <x v="0"/>
    <x v="0"/>
  </r>
  <r>
    <x v="848"/>
    <x v="0"/>
    <n v="15"/>
    <x v="5"/>
    <x v="1"/>
    <n v="13"/>
    <x v="19"/>
    <x v="0"/>
    <x v="841"/>
    <x v="0"/>
    <s v="No"/>
    <x v="145"/>
    <n v="4.18"/>
    <n v="3.11"/>
    <s v="Average"/>
    <x v="0"/>
    <x v="1"/>
  </r>
  <r>
    <x v="849"/>
    <x v="1"/>
    <n v="16"/>
    <x v="7"/>
    <x v="1"/>
    <n v="5"/>
    <x v="29"/>
    <x v="0"/>
    <x v="842"/>
    <x v="0"/>
    <s v="Yes"/>
    <x v="200"/>
    <n v="4.63"/>
    <n v="4.09"/>
    <s v="Good"/>
    <x v="0"/>
    <x v="1"/>
  </r>
  <r>
    <x v="850"/>
    <x v="0"/>
    <n v="17"/>
    <x v="3"/>
    <x v="0"/>
    <n v="8"/>
    <x v="6"/>
    <x v="2"/>
    <x v="843"/>
    <x v="1"/>
    <s v="Yes"/>
    <x v="151"/>
    <n v="4.93"/>
    <n v="3.52"/>
    <s v="Good"/>
    <x v="0"/>
    <x v="0"/>
  </r>
  <r>
    <x v="851"/>
    <x v="1"/>
    <n v="15"/>
    <x v="4"/>
    <x v="1"/>
    <n v="7"/>
    <x v="35"/>
    <x v="2"/>
    <x v="844"/>
    <x v="1"/>
    <s v="No"/>
    <x v="135"/>
    <n v="4.66"/>
    <n v="4.18"/>
    <s v="Good"/>
    <x v="0"/>
    <x v="0"/>
  </r>
  <r>
    <x v="852"/>
    <x v="0"/>
    <n v="16"/>
    <x v="4"/>
    <x v="1"/>
    <n v="6"/>
    <x v="18"/>
    <x v="2"/>
    <x v="845"/>
    <x v="1"/>
    <s v="Yes"/>
    <x v="45"/>
    <n v="4.76"/>
    <n v="3.52"/>
    <s v="Good"/>
    <x v="0"/>
    <x v="1"/>
  </r>
  <r>
    <x v="853"/>
    <x v="0"/>
    <n v="15"/>
    <x v="2"/>
    <x v="1"/>
    <n v="12"/>
    <x v="10"/>
    <x v="1"/>
    <x v="846"/>
    <x v="1"/>
    <s v="Yes"/>
    <x v="57"/>
    <n v="4.6399999999999997"/>
    <n v="4.97"/>
    <s v="Excellent"/>
    <x v="0"/>
    <x v="0"/>
  </r>
  <r>
    <x v="854"/>
    <x v="0"/>
    <n v="18"/>
    <x v="7"/>
    <x v="0"/>
    <n v="27"/>
    <x v="23"/>
    <x v="2"/>
    <x v="847"/>
    <x v="0"/>
    <s v="No"/>
    <x v="68"/>
    <n v="3.75"/>
    <n v="3.62"/>
    <s v="Good"/>
    <x v="1"/>
    <x v="1"/>
  </r>
  <r>
    <x v="855"/>
    <x v="0"/>
    <n v="16"/>
    <x v="6"/>
    <x v="1"/>
    <n v="13"/>
    <x v="9"/>
    <x v="1"/>
    <x v="848"/>
    <x v="0"/>
    <s v="Yes"/>
    <x v="157"/>
    <n v="4.75"/>
    <n v="3.48"/>
    <s v="Average"/>
    <x v="0"/>
    <x v="1"/>
  </r>
  <r>
    <x v="856"/>
    <x v="0"/>
    <n v="15"/>
    <x v="7"/>
    <x v="0"/>
    <n v="6"/>
    <x v="17"/>
    <x v="3"/>
    <x v="849"/>
    <x v="0"/>
    <s v="Yes"/>
    <x v="32"/>
    <n v="3.79"/>
    <n v="3.56"/>
    <s v="Good"/>
    <x v="0"/>
    <x v="1"/>
  </r>
  <r>
    <x v="857"/>
    <x v="0"/>
    <n v="15"/>
    <x v="5"/>
    <x v="1"/>
    <n v="18"/>
    <x v="0"/>
    <x v="0"/>
    <x v="850"/>
    <x v="1"/>
    <s v="No"/>
    <x v="74"/>
    <n v="4.84"/>
    <n v="4.79"/>
    <s v="Excellent"/>
    <x v="1"/>
    <x v="0"/>
  </r>
  <r>
    <x v="858"/>
    <x v="1"/>
    <n v="17"/>
    <x v="6"/>
    <x v="0"/>
    <n v="18"/>
    <x v="21"/>
    <x v="2"/>
    <x v="851"/>
    <x v="0"/>
    <s v="Yes"/>
    <x v="120"/>
    <n v="4.1900000000000004"/>
    <n v="4.2699999999999996"/>
    <s v="Good"/>
    <x v="1"/>
    <x v="0"/>
  </r>
  <r>
    <x v="859"/>
    <x v="0"/>
    <n v="15"/>
    <x v="0"/>
    <x v="1"/>
    <n v="8"/>
    <x v="28"/>
    <x v="0"/>
    <x v="852"/>
    <x v="1"/>
    <s v="No"/>
    <x v="69"/>
    <n v="4.5199999999999996"/>
    <n v="4.46"/>
    <s v="Good"/>
    <x v="0"/>
    <x v="0"/>
  </r>
  <r>
    <x v="860"/>
    <x v="1"/>
    <n v="16"/>
    <x v="0"/>
    <x v="0"/>
    <n v="10"/>
    <x v="31"/>
    <x v="0"/>
    <x v="853"/>
    <x v="1"/>
    <s v="No"/>
    <x v="19"/>
    <n v="4.25"/>
    <n v="4.84"/>
    <s v="Excellent"/>
    <x v="0"/>
    <x v="0"/>
  </r>
  <r>
    <x v="861"/>
    <x v="0"/>
    <n v="16"/>
    <x v="3"/>
    <x v="0"/>
    <n v="15"/>
    <x v="31"/>
    <x v="2"/>
    <x v="854"/>
    <x v="1"/>
    <s v="Yes"/>
    <x v="60"/>
    <n v="3.64"/>
    <n v="4.82"/>
    <s v="Excellent"/>
    <x v="1"/>
    <x v="0"/>
  </r>
  <r>
    <x v="862"/>
    <x v="1"/>
    <n v="17"/>
    <x v="0"/>
    <x v="1"/>
    <n v="7"/>
    <x v="20"/>
    <x v="2"/>
    <x v="855"/>
    <x v="1"/>
    <s v="Yes"/>
    <x v="130"/>
    <n v="3.94"/>
    <n v="4.4800000000000004"/>
    <s v="Good"/>
    <x v="0"/>
    <x v="0"/>
  </r>
  <r>
    <x v="863"/>
    <x v="1"/>
    <n v="16"/>
    <x v="4"/>
    <x v="0"/>
    <n v="12"/>
    <x v="4"/>
    <x v="3"/>
    <x v="856"/>
    <x v="1"/>
    <s v="Yes"/>
    <x v="30"/>
    <n v="4.9800000000000004"/>
    <n v="3.4"/>
    <s v="Average"/>
    <x v="0"/>
    <x v="1"/>
  </r>
  <r>
    <x v="864"/>
    <x v="1"/>
    <n v="18"/>
    <x v="7"/>
    <x v="0"/>
    <n v="7"/>
    <x v="4"/>
    <x v="1"/>
    <x v="857"/>
    <x v="0"/>
    <s v="No"/>
    <x v="99"/>
    <n v="4.9400000000000004"/>
    <n v="4.6900000000000004"/>
    <s v="Excellent"/>
    <x v="0"/>
    <x v="0"/>
  </r>
  <r>
    <x v="865"/>
    <x v="0"/>
    <n v="16"/>
    <x v="0"/>
    <x v="0"/>
    <n v="18"/>
    <x v="9"/>
    <x v="1"/>
    <x v="858"/>
    <x v="1"/>
    <s v="No"/>
    <x v="35"/>
    <n v="3.98"/>
    <n v="3.41"/>
    <s v="Average"/>
    <x v="1"/>
    <x v="1"/>
  </r>
  <r>
    <x v="866"/>
    <x v="0"/>
    <n v="16"/>
    <x v="1"/>
    <x v="0"/>
    <n v="17"/>
    <x v="33"/>
    <x v="0"/>
    <x v="859"/>
    <x v="1"/>
    <s v="No"/>
    <x v="1"/>
    <n v="4.99"/>
    <n v="4.49"/>
    <s v="Good"/>
    <x v="1"/>
    <x v="1"/>
  </r>
  <r>
    <x v="867"/>
    <x v="1"/>
    <n v="15"/>
    <x v="2"/>
    <x v="0"/>
    <n v="17"/>
    <x v="0"/>
    <x v="2"/>
    <x v="860"/>
    <x v="0"/>
    <s v="Yes"/>
    <x v="54"/>
    <n v="4.7699999999999996"/>
    <n v="4.37"/>
    <s v="Good"/>
    <x v="1"/>
    <x v="1"/>
  </r>
  <r>
    <x v="868"/>
    <x v="0"/>
    <n v="15"/>
    <x v="1"/>
    <x v="0"/>
    <n v="6"/>
    <x v="38"/>
    <x v="3"/>
    <x v="861"/>
    <x v="1"/>
    <s v="Yes"/>
    <x v="107"/>
    <n v="4.42"/>
    <n v="4.5199999999999996"/>
    <s v="Excellent"/>
    <x v="0"/>
    <x v="1"/>
  </r>
  <r>
    <x v="869"/>
    <x v="1"/>
    <n v="16"/>
    <x v="0"/>
    <x v="0"/>
    <n v="17"/>
    <x v="21"/>
    <x v="3"/>
    <x v="862"/>
    <x v="1"/>
    <s v="No"/>
    <x v="40"/>
    <n v="3.56"/>
    <n v="4.07"/>
    <s v="Good"/>
    <x v="1"/>
    <x v="1"/>
  </r>
  <r>
    <x v="870"/>
    <x v="0"/>
    <n v="17"/>
    <x v="3"/>
    <x v="0"/>
    <n v="23"/>
    <x v="1"/>
    <x v="3"/>
    <x v="863"/>
    <x v="0"/>
    <s v="Yes"/>
    <x v="75"/>
    <n v="4.8499999999999996"/>
    <n v="4.28"/>
    <s v="Good"/>
    <x v="1"/>
    <x v="0"/>
  </r>
  <r>
    <x v="871"/>
    <x v="1"/>
    <n v="15"/>
    <x v="2"/>
    <x v="1"/>
    <n v="10"/>
    <x v="35"/>
    <x v="3"/>
    <x v="864"/>
    <x v="0"/>
    <s v="Yes"/>
    <x v="5"/>
    <n v="4.34"/>
    <n v="4.91"/>
    <s v="Excellent"/>
    <x v="0"/>
    <x v="0"/>
  </r>
  <r>
    <x v="872"/>
    <x v="1"/>
    <n v="17"/>
    <x v="5"/>
    <x v="1"/>
    <n v="20"/>
    <x v="20"/>
    <x v="3"/>
    <x v="865"/>
    <x v="0"/>
    <s v="No"/>
    <x v="189"/>
    <n v="4.8"/>
    <n v="3.2"/>
    <s v="Average"/>
    <x v="1"/>
    <x v="1"/>
  </r>
  <r>
    <x v="873"/>
    <x v="0"/>
    <n v="16"/>
    <x v="1"/>
    <x v="0"/>
    <n v="6"/>
    <x v="9"/>
    <x v="1"/>
    <x v="866"/>
    <x v="1"/>
    <s v="No"/>
    <x v="194"/>
    <n v="4.75"/>
    <n v="3.62"/>
    <s v="Good"/>
    <x v="0"/>
    <x v="1"/>
  </r>
  <r>
    <x v="874"/>
    <x v="1"/>
    <n v="16"/>
    <x v="3"/>
    <x v="0"/>
    <n v="12"/>
    <x v="35"/>
    <x v="1"/>
    <x v="867"/>
    <x v="0"/>
    <s v="Yes"/>
    <x v="51"/>
    <n v="4.75"/>
    <n v="4.22"/>
    <s v="Good"/>
    <x v="0"/>
    <x v="0"/>
  </r>
  <r>
    <x v="875"/>
    <x v="0"/>
    <n v="18"/>
    <x v="7"/>
    <x v="1"/>
    <n v="21"/>
    <x v="25"/>
    <x v="1"/>
    <x v="868"/>
    <x v="0"/>
    <s v="No"/>
    <x v="87"/>
    <n v="4.55"/>
    <n v="4.93"/>
    <s v="Excellent"/>
    <x v="1"/>
    <x v="0"/>
  </r>
  <r>
    <x v="876"/>
    <x v="1"/>
    <n v="15"/>
    <x v="7"/>
    <x v="1"/>
    <n v="27"/>
    <x v="14"/>
    <x v="2"/>
    <x v="869"/>
    <x v="0"/>
    <s v="Yes"/>
    <x v="37"/>
    <n v="3.94"/>
    <n v="3.19"/>
    <s v="Average"/>
    <x v="1"/>
    <x v="1"/>
  </r>
  <r>
    <x v="877"/>
    <x v="1"/>
    <n v="16"/>
    <x v="1"/>
    <x v="1"/>
    <n v="6"/>
    <x v="37"/>
    <x v="0"/>
    <x v="870"/>
    <x v="1"/>
    <s v="No"/>
    <x v="73"/>
    <n v="4"/>
    <n v="3.05"/>
    <s v="Average"/>
    <x v="0"/>
    <x v="1"/>
  </r>
  <r>
    <x v="878"/>
    <x v="0"/>
    <n v="18"/>
    <x v="0"/>
    <x v="0"/>
    <n v="14"/>
    <x v="22"/>
    <x v="3"/>
    <x v="871"/>
    <x v="0"/>
    <s v="No"/>
    <x v="95"/>
    <n v="3.96"/>
    <n v="3.11"/>
    <s v="Average"/>
    <x v="0"/>
    <x v="1"/>
  </r>
  <r>
    <x v="879"/>
    <x v="0"/>
    <n v="15"/>
    <x v="3"/>
    <x v="1"/>
    <n v="20"/>
    <x v="29"/>
    <x v="2"/>
    <x v="872"/>
    <x v="1"/>
    <s v="No"/>
    <x v="183"/>
    <n v="3.53"/>
    <n v="3.1"/>
    <s v="Average"/>
    <x v="1"/>
    <x v="1"/>
  </r>
  <r>
    <x v="880"/>
    <x v="0"/>
    <n v="16"/>
    <x v="7"/>
    <x v="0"/>
    <n v="10"/>
    <x v="22"/>
    <x v="3"/>
    <x v="873"/>
    <x v="1"/>
    <s v="Yes"/>
    <x v="90"/>
    <n v="4.37"/>
    <n v="4.82"/>
    <s v="Excellent"/>
    <x v="0"/>
    <x v="0"/>
  </r>
  <r>
    <x v="881"/>
    <x v="1"/>
    <n v="16"/>
    <x v="5"/>
    <x v="0"/>
    <n v="6"/>
    <x v="29"/>
    <x v="1"/>
    <x v="874"/>
    <x v="0"/>
    <s v="Yes"/>
    <x v="171"/>
    <n v="4.55"/>
    <n v="4.4400000000000004"/>
    <s v="Good"/>
    <x v="0"/>
    <x v="0"/>
  </r>
  <r>
    <x v="882"/>
    <x v="0"/>
    <n v="15"/>
    <x v="6"/>
    <x v="1"/>
    <n v="6"/>
    <x v="4"/>
    <x v="2"/>
    <x v="875"/>
    <x v="1"/>
    <s v="No"/>
    <x v="36"/>
    <n v="4.78"/>
    <n v="4.3499999999999996"/>
    <s v="Good"/>
    <x v="0"/>
    <x v="1"/>
  </r>
  <r>
    <x v="883"/>
    <x v="1"/>
    <n v="15"/>
    <x v="0"/>
    <x v="0"/>
    <n v="17"/>
    <x v="32"/>
    <x v="1"/>
    <x v="876"/>
    <x v="1"/>
    <s v="No"/>
    <x v="57"/>
    <n v="3.71"/>
    <n v="4.05"/>
    <s v="Good"/>
    <x v="1"/>
    <x v="1"/>
  </r>
  <r>
    <x v="884"/>
    <x v="1"/>
    <n v="15"/>
    <x v="3"/>
    <x v="0"/>
    <n v="28"/>
    <x v="4"/>
    <x v="3"/>
    <x v="877"/>
    <x v="0"/>
    <s v="No"/>
    <x v="46"/>
    <n v="4.32"/>
    <n v="4.5599999999999996"/>
    <s v="Excellent"/>
    <x v="1"/>
    <x v="0"/>
  </r>
  <r>
    <x v="885"/>
    <x v="0"/>
    <n v="16"/>
    <x v="5"/>
    <x v="0"/>
    <n v="19"/>
    <x v="37"/>
    <x v="3"/>
    <x v="878"/>
    <x v="1"/>
    <s v="Yes"/>
    <x v="4"/>
    <n v="3.51"/>
    <n v="3.31"/>
    <s v="Average"/>
    <x v="1"/>
    <x v="1"/>
  </r>
  <r>
    <x v="886"/>
    <x v="0"/>
    <n v="16"/>
    <x v="3"/>
    <x v="0"/>
    <n v="6"/>
    <x v="12"/>
    <x v="0"/>
    <x v="879"/>
    <x v="0"/>
    <s v="No"/>
    <x v="187"/>
    <n v="3.64"/>
    <n v="3.78"/>
    <s v="Good"/>
    <x v="0"/>
    <x v="1"/>
  </r>
  <r>
    <x v="887"/>
    <x v="1"/>
    <n v="18"/>
    <x v="2"/>
    <x v="1"/>
    <n v="11"/>
    <x v="6"/>
    <x v="3"/>
    <x v="880"/>
    <x v="1"/>
    <s v="No"/>
    <x v="28"/>
    <n v="3.58"/>
    <n v="3.98"/>
    <s v="Good"/>
    <x v="0"/>
    <x v="1"/>
  </r>
  <r>
    <x v="888"/>
    <x v="1"/>
    <n v="17"/>
    <x v="5"/>
    <x v="1"/>
    <n v="7"/>
    <x v="17"/>
    <x v="1"/>
    <x v="881"/>
    <x v="1"/>
    <s v="No"/>
    <x v="140"/>
    <n v="4.59"/>
    <n v="3.22"/>
    <s v="Average"/>
    <x v="0"/>
    <x v="1"/>
  </r>
  <r>
    <x v="889"/>
    <x v="0"/>
    <n v="15"/>
    <x v="0"/>
    <x v="0"/>
    <n v="12"/>
    <x v="36"/>
    <x v="3"/>
    <x v="882"/>
    <x v="0"/>
    <s v="No"/>
    <x v="164"/>
    <n v="3.62"/>
    <n v="3.84"/>
    <s v="Good"/>
    <x v="0"/>
    <x v="0"/>
  </r>
  <r>
    <x v="890"/>
    <x v="0"/>
    <n v="16"/>
    <x v="2"/>
    <x v="0"/>
    <n v="27"/>
    <x v="18"/>
    <x v="0"/>
    <x v="883"/>
    <x v="0"/>
    <s v="Yes"/>
    <x v="174"/>
    <n v="4.57"/>
    <n v="3.63"/>
    <s v="Good"/>
    <x v="1"/>
    <x v="1"/>
  </r>
  <r>
    <x v="891"/>
    <x v="0"/>
    <n v="16"/>
    <x v="0"/>
    <x v="1"/>
    <n v="18"/>
    <x v="16"/>
    <x v="0"/>
    <x v="884"/>
    <x v="1"/>
    <s v="Yes"/>
    <x v="43"/>
    <n v="3.87"/>
    <n v="3.07"/>
    <s v="Average"/>
    <x v="1"/>
    <x v="1"/>
  </r>
  <r>
    <x v="892"/>
    <x v="0"/>
    <n v="15"/>
    <x v="7"/>
    <x v="0"/>
    <n v="28"/>
    <x v="23"/>
    <x v="1"/>
    <x v="885"/>
    <x v="1"/>
    <s v="No"/>
    <x v="117"/>
    <n v="4.82"/>
    <n v="3.27"/>
    <s v="Average"/>
    <x v="1"/>
    <x v="1"/>
  </r>
  <r>
    <x v="893"/>
    <x v="0"/>
    <n v="17"/>
    <x v="6"/>
    <x v="1"/>
    <n v="27"/>
    <x v="33"/>
    <x v="2"/>
    <x v="886"/>
    <x v="0"/>
    <s v="Yes"/>
    <x v="110"/>
    <n v="4.72"/>
    <n v="4.53"/>
    <s v="Excellent"/>
    <x v="1"/>
    <x v="0"/>
  </r>
  <r>
    <x v="894"/>
    <x v="1"/>
    <n v="15"/>
    <x v="0"/>
    <x v="0"/>
    <n v="26"/>
    <x v="11"/>
    <x v="3"/>
    <x v="887"/>
    <x v="1"/>
    <s v="Yes"/>
    <x v="78"/>
    <n v="4.9400000000000004"/>
    <n v="3.04"/>
    <s v="Average"/>
    <x v="1"/>
    <x v="1"/>
  </r>
  <r>
    <x v="895"/>
    <x v="1"/>
    <n v="17"/>
    <x v="0"/>
    <x v="0"/>
    <n v="11"/>
    <x v="38"/>
    <x v="0"/>
    <x v="888"/>
    <x v="1"/>
    <s v="Yes"/>
    <x v="81"/>
    <n v="4.83"/>
    <n v="4.87"/>
    <s v="Excellent"/>
    <x v="0"/>
    <x v="0"/>
  </r>
  <r>
    <x v="896"/>
    <x v="1"/>
    <n v="16"/>
    <x v="7"/>
    <x v="1"/>
    <n v="25"/>
    <x v="38"/>
    <x v="3"/>
    <x v="889"/>
    <x v="1"/>
    <s v="No"/>
    <x v="108"/>
    <n v="4.9000000000000004"/>
    <n v="3.17"/>
    <s v="Average"/>
    <x v="1"/>
    <x v="1"/>
  </r>
  <r>
    <x v="897"/>
    <x v="1"/>
    <n v="17"/>
    <x v="4"/>
    <x v="1"/>
    <n v="11"/>
    <x v="2"/>
    <x v="3"/>
    <x v="890"/>
    <x v="1"/>
    <s v="Yes"/>
    <x v="138"/>
    <n v="4.79"/>
    <n v="4.5999999999999996"/>
    <s v="Excellent"/>
    <x v="0"/>
    <x v="0"/>
  </r>
  <r>
    <x v="898"/>
    <x v="0"/>
    <n v="18"/>
    <x v="7"/>
    <x v="1"/>
    <n v="5"/>
    <x v="37"/>
    <x v="2"/>
    <x v="891"/>
    <x v="0"/>
    <s v="Yes"/>
    <x v="195"/>
    <n v="4.54"/>
    <n v="4.8"/>
    <s v="Excellent"/>
    <x v="0"/>
    <x v="0"/>
  </r>
  <r>
    <x v="899"/>
    <x v="0"/>
    <n v="16"/>
    <x v="2"/>
    <x v="1"/>
    <n v="21"/>
    <x v="25"/>
    <x v="0"/>
    <x v="892"/>
    <x v="0"/>
    <s v="Yes"/>
    <x v="113"/>
    <n v="3.76"/>
    <n v="4.88"/>
    <s v="Excellent"/>
    <x v="1"/>
    <x v="0"/>
  </r>
  <r>
    <x v="900"/>
    <x v="0"/>
    <n v="18"/>
    <x v="7"/>
    <x v="0"/>
    <n v="13"/>
    <x v="30"/>
    <x v="3"/>
    <x v="893"/>
    <x v="0"/>
    <s v="No"/>
    <x v="143"/>
    <n v="3.91"/>
    <n v="4.7300000000000004"/>
    <s v="Excellent"/>
    <x v="0"/>
    <x v="0"/>
  </r>
  <r>
    <x v="901"/>
    <x v="1"/>
    <n v="15"/>
    <x v="7"/>
    <x v="1"/>
    <n v="25"/>
    <x v="27"/>
    <x v="0"/>
    <x v="894"/>
    <x v="0"/>
    <s v="No"/>
    <x v="24"/>
    <n v="3.82"/>
    <n v="3.58"/>
    <s v="Good"/>
    <x v="1"/>
    <x v="1"/>
  </r>
  <r>
    <x v="902"/>
    <x v="1"/>
    <n v="15"/>
    <x v="6"/>
    <x v="0"/>
    <n v="17"/>
    <x v="7"/>
    <x v="1"/>
    <x v="895"/>
    <x v="0"/>
    <s v="Yes"/>
    <x v="144"/>
    <n v="4.41"/>
    <n v="3.67"/>
    <s v="Good"/>
    <x v="1"/>
    <x v="1"/>
  </r>
  <r>
    <x v="903"/>
    <x v="0"/>
    <n v="15"/>
    <x v="7"/>
    <x v="1"/>
    <n v="25"/>
    <x v="10"/>
    <x v="1"/>
    <x v="896"/>
    <x v="0"/>
    <s v="Yes"/>
    <x v="170"/>
    <n v="4.26"/>
    <n v="3.85"/>
    <s v="Good"/>
    <x v="1"/>
    <x v="0"/>
  </r>
  <r>
    <x v="904"/>
    <x v="0"/>
    <n v="17"/>
    <x v="3"/>
    <x v="1"/>
    <n v="23"/>
    <x v="7"/>
    <x v="3"/>
    <x v="897"/>
    <x v="1"/>
    <s v="No"/>
    <x v="135"/>
    <n v="4.8"/>
    <n v="3.28"/>
    <s v="Average"/>
    <x v="1"/>
    <x v="1"/>
  </r>
  <r>
    <x v="905"/>
    <x v="1"/>
    <n v="16"/>
    <x v="0"/>
    <x v="0"/>
    <n v="25"/>
    <x v="9"/>
    <x v="0"/>
    <x v="898"/>
    <x v="0"/>
    <s v="No"/>
    <x v="33"/>
    <n v="4.93"/>
    <n v="3.04"/>
    <s v="Average"/>
    <x v="1"/>
    <x v="1"/>
  </r>
  <r>
    <x v="906"/>
    <x v="1"/>
    <n v="15"/>
    <x v="3"/>
    <x v="1"/>
    <n v="23"/>
    <x v="24"/>
    <x v="3"/>
    <x v="899"/>
    <x v="1"/>
    <s v="Yes"/>
    <x v="49"/>
    <n v="4.1100000000000003"/>
    <n v="4.74"/>
    <s v="Excellent"/>
    <x v="1"/>
    <x v="1"/>
  </r>
  <r>
    <x v="907"/>
    <x v="0"/>
    <n v="15"/>
    <x v="6"/>
    <x v="1"/>
    <n v="29"/>
    <x v="12"/>
    <x v="0"/>
    <x v="900"/>
    <x v="1"/>
    <s v="Yes"/>
    <x v="139"/>
    <n v="4.26"/>
    <n v="4.1100000000000003"/>
    <s v="Good"/>
    <x v="1"/>
    <x v="1"/>
  </r>
  <r>
    <x v="908"/>
    <x v="0"/>
    <n v="16"/>
    <x v="1"/>
    <x v="1"/>
    <n v="29"/>
    <x v="28"/>
    <x v="0"/>
    <x v="901"/>
    <x v="1"/>
    <s v="No"/>
    <x v="15"/>
    <n v="4.96"/>
    <n v="4.22"/>
    <s v="Good"/>
    <x v="1"/>
    <x v="1"/>
  </r>
  <r>
    <x v="909"/>
    <x v="1"/>
    <n v="15"/>
    <x v="4"/>
    <x v="1"/>
    <n v="26"/>
    <x v="32"/>
    <x v="2"/>
    <x v="902"/>
    <x v="0"/>
    <s v="No"/>
    <x v="52"/>
    <n v="3.91"/>
    <n v="4.8499999999999996"/>
    <s v="Excellent"/>
    <x v="1"/>
    <x v="0"/>
  </r>
  <r>
    <x v="910"/>
    <x v="0"/>
    <n v="18"/>
    <x v="3"/>
    <x v="0"/>
    <n v="21"/>
    <x v="10"/>
    <x v="2"/>
    <x v="903"/>
    <x v="1"/>
    <s v="Yes"/>
    <x v="69"/>
    <n v="4.6900000000000004"/>
    <n v="4.33"/>
    <s v="Good"/>
    <x v="1"/>
    <x v="0"/>
  </r>
  <r>
    <x v="911"/>
    <x v="0"/>
    <n v="16"/>
    <x v="6"/>
    <x v="0"/>
    <n v="27"/>
    <x v="23"/>
    <x v="2"/>
    <x v="904"/>
    <x v="0"/>
    <s v="No"/>
    <x v="2"/>
    <n v="3.84"/>
    <n v="4.38"/>
    <s v="Good"/>
    <x v="1"/>
    <x v="0"/>
  </r>
  <r>
    <x v="912"/>
    <x v="0"/>
    <n v="16"/>
    <x v="2"/>
    <x v="1"/>
    <n v="27"/>
    <x v="30"/>
    <x v="3"/>
    <x v="905"/>
    <x v="1"/>
    <s v="Yes"/>
    <x v="47"/>
    <n v="4.5199999999999996"/>
    <n v="4.57"/>
    <s v="Excellent"/>
    <x v="1"/>
    <x v="0"/>
  </r>
  <r>
    <x v="913"/>
    <x v="1"/>
    <n v="16"/>
    <x v="1"/>
    <x v="1"/>
    <n v="14"/>
    <x v="6"/>
    <x v="2"/>
    <x v="906"/>
    <x v="1"/>
    <s v="Yes"/>
    <x v="196"/>
    <n v="3.88"/>
    <n v="3.23"/>
    <s v="Average"/>
    <x v="0"/>
    <x v="1"/>
  </r>
  <r>
    <x v="914"/>
    <x v="1"/>
    <n v="18"/>
    <x v="6"/>
    <x v="1"/>
    <n v="14"/>
    <x v="37"/>
    <x v="2"/>
    <x v="547"/>
    <x v="0"/>
    <s v="Yes"/>
    <x v="186"/>
    <n v="4.83"/>
    <n v="3.72"/>
    <s v="Good"/>
    <x v="0"/>
    <x v="0"/>
  </r>
  <r>
    <x v="915"/>
    <x v="1"/>
    <n v="16"/>
    <x v="6"/>
    <x v="0"/>
    <n v="8"/>
    <x v="13"/>
    <x v="1"/>
    <x v="907"/>
    <x v="1"/>
    <s v="No"/>
    <x v="23"/>
    <n v="4.34"/>
    <n v="4.9400000000000004"/>
    <s v="Excellent"/>
    <x v="0"/>
    <x v="0"/>
  </r>
  <r>
    <x v="916"/>
    <x v="1"/>
    <n v="18"/>
    <x v="4"/>
    <x v="0"/>
    <n v="12"/>
    <x v="38"/>
    <x v="0"/>
    <x v="908"/>
    <x v="1"/>
    <s v="Yes"/>
    <x v="169"/>
    <n v="3.78"/>
    <n v="4.8499999999999996"/>
    <s v="Excellent"/>
    <x v="0"/>
    <x v="2"/>
  </r>
  <r>
    <x v="917"/>
    <x v="1"/>
    <n v="16"/>
    <x v="0"/>
    <x v="0"/>
    <n v="26"/>
    <x v="39"/>
    <x v="0"/>
    <x v="909"/>
    <x v="1"/>
    <s v="Yes"/>
    <x v="44"/>
    <n v="3.84"/>
    <n v="4.7699999999999996"/>
    <s v="Excellent"/>
    <x v="1"/>
    <x v="0"/>
  </r>
  <r>
    <x v="918"/>
    <x v="1"/>
    <n v="17"/>
    <x v="3"/>
    <x v="0"/>
    <n v="24"/>
    <x v="30"/>
    <x v="2"/>
    <x v="910"/>
    <x v="1"/>
    <s v="No"/>
    <x v="116"/>
    <n v="4.24"/>
    <n v="3.9"/>
    <s v="Good"/>
    <x v="1"/>
    <x v="1"/>
  </r>
  <r>
    <x v="919"/>
    <x v="1"/>
    <n v="15"/>
    <x v="2"/>
    <x v="1"/>
    <n v="24"/>
    <x v="3"/>
    <x v="0"/>
    <x v="911"/>
    <x v="0"/>
    <s v="No"/>
    <x v="147"/>
    <n v="4.9400000000000004"/>
    <n v="4.71"/>
    <s v="Excellent"/>
    <x v="1"/>
    <x v="0"/>
  </r>
  <r>
    <x v="920"/>
    <x v="0"/>
    <n v="17"/>
    <x v="5"/>
    <x v="1"/>
    <n v="22"/>
    <x v="31"/>
    <x v="1"/>
    <x v="912"/>
    <x v="1"/>
    <s v="Yes"/>
    <x v="193"/>
    <n v="4.6500000000000004"/>
    <n v="3.1"/>
    <s v="Average"/>
    <x v="1"/>
    <x v="1"/>
  </r>
  <r>
    <x v="921"/>
    <x v="0"/>
    <n v="15"/>
    <x v="3"/>
    <x v="1"/>
    <n v="18"/>
    <x v="34"/>
    <x v="1"/>
    <x v="913"/>
    <x v="1"/>
    <s v="Yes"/>
    <x v="109"/>
    <n v="4.2300000000000004"/>
    <n v="3.3"/>
    <s v="Average"/>
    <x v="1"/>
    <x v="1"/>
  </r>
  <r>
    <x v="922"/>
    <x v="0"/>
    <n v="18"/>
    <x v="5"/>
    <x v="0"/>
    <n v="22"/>
    <x v="16"/>
    <x v="2"/>
    <x v="914"/>
    <x v="0"/>
    <s v="No"/>
    <x v="28"/>
    <n v="4.01"/>
    <n v="3.83"/>
    <s v="Good"/>
    <x v="1"/>
    <x v="1"/>
  </r>
  <r>
    <x v="923"/>
    <x v="0"/>
    <n v="17"/>
    <x v="6"/>
    <x v="1"/>
    <n v="18"/>
    <x v="31"/>
    <x v="1"/>
    <x v="915"/>
    <x v="1"/>
    <s v="No"/>
    <x v="152"/>
    <n v="4.32"/>
    <n v="3.97"/>
    <s v="Good"/>
    <x v="1"/>
    <x v="1"/>
  </r>
  <r>
    <x v="924"/>
    <x v="0"/>
    <n v="16"/>
    <x v="7"/>
    <x v="0"/>
    <n v="24"/>
    <x v="17"/>
    <x v="0"/>
    <x v="916"/>
    <x v="1"/>
    <s v="No"/>
    <x v="71"/>
    <n v="4.62"/>
    <n v="3.53"/>
    <s v="Good"/>
    <x v="1"/>
    <x v="0"/>
  </r>
  <r>
    <x v="925"/>
    <x v="0"/>
    <n v="15"/>
    <x v="2"/>
    <x v="0"/>
    <n v="25"/>
    <x v="22"/>
    <x v="3"/>
    <x v="917"/>
    <x v="1"/>
    <s v="Yes"/>
    <x v="165"/>
    <n v="4.68"/>
    <n v="3.71"/>
    <s v="Good"/>
    <x v="1"/>
    <x v="1"/>
  </r>
  <r>
    <x v="926"/>
    <x v="0"/>
    <n v="15"/>
    <x v="1"/>
    <x v="1"/>
    <n v="28"/>
    <x v="14"/>
    <x v="0"/>
    <x v="918"/>
    <x v="1"/>
    <s v="Yes"/>
    <x v="18"/>
    <n v="3.99"/>
    <n v="3.33"/>
    <s v="Average"/>
    <x v="1"/>
    <x v="1"/>
  </r>
  <r>
    <x v="927"/>
    <x v="1"/>
    <n v="17"/>
    <x v="7"/>
    <x v="1"/>
    <n v="19"/>
    <x v="20"/>
    <x v="3"/>
    <x v="919"/>
    <x v="0"/>
    <s v="Yes"/>
    <x v="114"/>
    <n v="4.58"/>
    <n v="3.98"/>
    <s v="Good"/>
    <x v="1"/>
    <x v="1"/>
  </r>
  <r>
    <x v="928"/>
    <x v="1"/>
    <n v="18"/>
    <x v="7"/>
    <x v="1"/>
    <n v="26"/>
    <x v="28"/>
    <x v="2"/>
    <x v="920"/>
    <x v="1"/>
    <s v="No"/>
    <x v="92"/>
    <n v="4.49"/>
    <n v="4.59"/>
    <s v="Excellent"/>
    <x v="1"/>
    <x v="0"/>
  </r>
  <r>
    <x v="929"/>
    <x v="0"/>
    <n v="17"/>
    <x v="3"/>
    <x v="0"/>
    <n v="8"/>
    <x v="0"/>
    <x v="3"/>
    <x v="921"/>
    <x v="0"/>
    <s v="Yes"/>
    <x v="149"/>
    <n v="4.9400000000000004"/>
    <n v="4.32"/>
    <s v="Good"/>
    <x v="0"/>
    <x v="1"/>
  </r>
  <r>
    <x v="930"/>
    <x v="0"/>
    <n v="18"/>
    <x v="2"/>
    <x v="0"/>
    <n v="17"/>
    <x v="24"/>
    <x v="1"/>
    <x v="922"/>
    <x v="1"/>
    <s v="No"/>
    <x v="65"/>
    <n v="4.9000000000000004"/>
    <n v="3.22"/>
    <s v="Average"/>
    <x v="1"/>
    <x v="1"/>
  </r>
  <r>
    <x v="931"/>
    <x v="1"/>
    <n v="18"/>
    <x v="0"/>
    <x v="1"/>
    <n v="27"/>
    <x v="22"/>
    <x v="0"/>
    <x v="923"/>
    <x v="1"/>
    <s v="Yes"/>
    <x v="79"/>
    <n v="4.68"/>
    <n v="3.98"/>
    <s v="Good"/>
    <x v="1"/>
    <x v="1"/>
  </r>
  <r>
    <x v="932"/>
    <x v="0"/>
    <n v="15"/>
    <x v="6"/>
    <x v="1"/>
    <n v="12"/>
    <x v="36"/>
    <x v="3"/>
    <x v="924"/>
    <x v="1"/>
    <s v="No"/>
    <x v="187"/>
    <n v="4.59"/>
    <n v="4.4000000000000004"/>
    <s v="Good"/>
    <x v="0"/>
    <x v="1"/>
  </r>
  <r>
    <x v="933"/>
    <x v="0"/>
    <n v="17"/>
    <x v="6"/>
    <x v="0"/>
    <n v="22"/>
    <x v="7"/>
    <x v="0"/>
    <x v="925"/>
    <x v="0"/>
    <s v="Yes"/>
    <x v="18"/>
    <n v="3.91"/>
    <n v="4.0599999999999996"/>
    <s v="Good"/>
    <x v="1"/>
    <x v="1"/>
  </r>
  <r>
    <x v="934"/>
    <x v="1"/>
    <n v="17"/>
    <x v="6"/>
    <x v="1"/>
    <n v="16"/>
    <x v="9"/>
    <x v="2"/>
    <x v="926"/>
    <x v="1"/>
    <s v="Yes"/>
    <x v="111"/>
    <n v="4.7699999999999996"/>
    <n v="3.78"/>
    <s v="Good"/>
    <x v="1"/>
    <x v="0"/>
  </r>
  <r>
    <x v="935"/>
    <x v="0"/>
    <n v="18"/>
    <x v="6"/>
    <x v="0"/>
    <n v="27"/>
    <x v="19"/>
    <x v="2"/>
    <x v="927"/>
    <x v="1"/>
    <s v="No"/>
    <x v="140"/>
    <n v="4.1399999999999997"/>
    <n v="4.24"/>
    <s v="Good"/>
    <x v="1"/>
    <x v="0"/>
  </r>
  <r>
    <x v="936"/>
    <x v="1"/>
    <n v="17"/>
    <x v="3"/>
    <x v="0"/>
    <n v="18"/>
    <x v="36"/>
    <x v="1"/>
    <x v="928"/>
    <x v="0"/>
    <s v="No"/>
    <x v="142"/>
    <n v="3.91"/>
    <n v="4.9400000000000004"/>
    <s v="Excellent"/>
    <x v="1"/>
    <x v="0"/>
  </r>
  <r>
    <x v="937"/>
    <x v="0"/>
    <n v="16"/>
    <x v="5"/>
    <x v="1"/>
    <n v="6"/>
    <x v="37"/>
    <x v="2"/>
    <x v="929"/>
    <x v="0"/>
    <s v="Yes"/>
    <x v="97"/>
    <n v="4.08"/>
    <n v="3.19"/>
    <s v="Average"/>
    <x v="0"/>
    <x v="1"/>
  </r>
  <r>
    <x v="938"/>
    <x v="1"/>
    <n v="16"/>
    <x v="6"/>
    <x v="1"/>
    <n v="22"/>
    <x v="33"/>
    <x v="3"/>
    <x v="930"/>
    <x v="0"/>
    <s v="No"/>
    <x v="173"/>
    <n v="4.75"/>
    <n v="3.78"/>
    <s v="Good"/>
    <x v="1"/>
    <x v="0"/>
  </r>
  <r>
    <x v="939"/>
    <x v="1"/>
    <n v="17"/>
    <x v="5"/>
    <x v="1"/>
    <n v="28"/>
    <x v="29"/>
    <x v="2"/>
    <x v="931"/>
    <x v="0"/>
    <s v="No"/>
    <x v="178"/>
    <n v="3.72"/>
    <n v="3.81"/>
    <s v="Good"/>
    <x v="1"/>
    <x v="0"/>
  </r>
  <r>
    <x v="940"/>
    <x v="1"/>
    <n v="17"/>
    <x v="5"/>
    <x v="1"/>
    <n v="6"/>
    <x v="36"/>
    <x v="1"/>
    <x v="932"/>
    <x v="1"/>
    <s v="Yes"/>
    <x v="73"/>
    <n v="4.18"/>
    <n v="4.1500000000000004"/>
    <s v="Good"/>
    <x v="0"/>
    <x v="0"/>
  </r>
  <r>
    <x v="941"/>
    <x v="0"/>
    <n v="18"/>
    <x v="0"/>
    <x v="0"/>
    <n v="15"/>
    <x v="13"/>
    <x v="0"/>
    <x v="933"/>
    <x v="1"/>
    <s v="No"/>
    <x v="169"/>
    <n v="4.24"/>
    <n v="3.3"/>
    <s v="Average"/>
    <x v="1"/>
    <x v="1"/>
  </r>
  <r>
    <x v="942"/>
    <x v="1"/>
    <n v="16"/>
    <x v="6"/>
    <x v="0"/>
    <n v="13"/>
    <x v="19"/>
    <x v="0"/>
    <x v="934"/>
    <x v="1"/>
    <s v="Yes"/>
    <x v="17"/>
    <n v="3.55"/>
    <n v="3.35"/>
    <s v="Average"/>
    <x v="0"/>
    <x v="1"/>
  </r>
  <r>
    <x v="943"/>
    <x v="0"/>
    <n v="16"/>
    <x v="4"/>
    <x v="0"/>
    <n v="16"/>
    <x v="38"/>
    <x v="2"/>
    <x v="935"/>
    <x v="1"/>
    <s v="Yes"/>
    <x v="19"/>
    <n v="3.79"/>
    <n v="3.57"/>
    <s v="Good"/>
    <x v="1"/>
    <x v="1"/>
  </r>
  <r>
    <x v="944"/>
    <x v="0"/>
    <n v="15"/>
    <x v="1"/>
    <x v="1"/>
    <n v="21"/>
    <x v="21"/>
    <x v="3"/>
    <x v="936"/>
    <x v="0"/>
    <s v="No"/>
    <x v="130"/>
    <n v="4.74"/>
    <n v="4.91"/>
    <s v="Excellent"/>
    <x v="1"/>
    <x v="0"/>
  </r>
  <r>
    <x v="945"/>
    <x v="0"/>
    <n v="18"/>
    <x v="7"/>
    <x v="0"/>
    <n v="19"/>
    <x v="17"/>
    <x v="1"/>
    <x v="937"/>
    <x v="1"/>
    <s v="No"/>
    <x v="13"/>
    <n v="4.75"/>
    <n v="4.47"/>
    <s v="Good"/>
    <x v="1"/>
    <x v="0"/>
  </r>
  <r>
    <x v="946"/>
    <x v="0"/>
    <n v="15"/>
    <x v="5"/>
    <x v="1"/>
    <n v="29"/>
    <x v="13"/>
    <x v="3"/>
    <x v="938"/>
    <x v="1"/>
    <s v="Yes"/>
    <x v="114"/>
    <n v="3.94"/>
    <n v="4.32"/>
    <s v="Good"/>
    <x v="1"/>
    <x v="0"/>
  </r>
  <r>
    <x v="947"/>
    <x v="1"/>
    <n v="16"/>
    <x v="2"/>
    <x v="1"/>
    <n v="21"/>
    <x v="0"/>
    <x v="1"/>
    <x v="939"/>
    <x v="1"/>
    <s v="Yes"/>
    <x v="174"/>
    <n v="4.8099999999999996"/>
    <n v="4.63"/>
    <s v="Excellent"/>
    <x v="1"/>
    <x v="1"/>
  </r>
  <r>
    <x v="948"/>
    <x v="1"/>
    <n v="18"/>
    <x v="2"/>
    <x v="1"/>
    <n v="22"/>
    <x v="6"/>
    <x v="2"/>
    <x v="940"/>
    <x v="1"/>
    <s v="Yes"/>
    <x v="196"/>
    <n v="4.66"/>
    <n v="3.26"/>
    <s v="Average"/>
    <x v="1"/>
    <x v="1"/>
  </r>
  <r>
    <x v="949"/>
    <x v="0"/>
    <n v="17"/>
    <x v="1"/>
    <x v="1"/>
    <n v="26"/>
    <x v="0"/>
    <x v="1"/>
    <x v="941"/>
    <x v="0"/>
    <s v="Yes"/>
    <x v="26"/>
    <n v="4.13"/>
    <n v="4.72"/>
    <s v="Excellent"/>
    <x v="1"/>
    <x v="0"/>
  </r>
  <r>
    <x v="950"/>
    <x v="0"/>
    <n v="18"/>
    <x v="2"/>
    <x v="1"/>
    <n v="10"/>
    <x v="4"/>
    <x v="1"/>
    <x v="942"/>
    <x v="1"/>
    <s v="Yes"/>
    <x v="91"/>
    <n v="4.62"/>
    <n v="4.1900000000000004"/>
    <s v="Good"/>
    <x v="0"/>
    <x v="0"/>
  </r>
  <r>
    <x v="951"/>
    <x v="1"/>
    <n v="17"/>
    <x v="4"/>
    <x v="1"/>
    <n v="21"/>
    <x v="13"/>
    <x v="2"/>
    <x v="943"/>
    <x v="1"/>
    <s v="Yes"/>
    <x v="1"/>
    <n v="4.9400000000000004"/>
    <n v="3.67"/>
    <s v="Good"/>
    <x v="1"/>
    <x v="1"/>
  </r>
  <r>
    <x v="952"/>
    <x v="0"/>
    <n v="17"/>
    <x v="2"/>
    <x v="0"/>
    <n v="27"/>
    <x v="23"/>
    <x v="3"/>
    <x v="944"/>
    <x v="1"/>
    <s v="No"/>
    <x v="55"/>
    <n v="4.1900000000000004"/>
    <n v="4.63"/>
    <s v="Excellent"/>
    <x v="1"/>
    <x v="0"/>
  </r>
  <r>
    <x v="953"/>
    <x v="1"/>
    <n v="18"/>
    <x v="7"/>
    <x v="1"/>
    <n v="28"/>
    <x v="22"/>
    <x v="2"/>
    <x v="945"/>
    <x v="0"/>
    <s v="No"/>
    <x v="25"/>
    <n v="3.86"/>
    <n v="4.6100000000000003"/>
    <s v="Excellent"/>
    <x v="1"/>
    <x v="0"/>
  </r>
  <r>
    <x v="954"/>
    <x v="0"/>
    <n v="17"/>
    <x v="7"/>
    <x v="0"/>
    <n v="22"/>
    <x v="19"/>
    <x v="1"/>
    <x v="946"/>
    <x v="0"/>
    <s v="No"/>
    <x v="113"/>
    <n v="4.91"/>
    <n v="4.6900000000000004"/>
    <s v="Excellent"/>
    <x v="1"/>
    <x v="0"/>
  </r>
  <r>
    <x v="955"/>
    <x v="0"/>
    <n v="15"/>
    <x v="5"/>
    <x v="0"/>
    <n v="12"/>
    <x v="15"/>
    <x v="2"/>
    <x v="916"/>
    <x v="1"/>
    <s v="Yes"/>
    <x v="152"/>
    <n v="4.41"/>
    <n v="3.23"/>
    <s v="Average"/>
    <x v="0"/>
    <x v="1"/>
  </r>
  <r>
    <x v="956"/>
    <x v="1"/>
    <n v="16"/>
    <x v="6"/>
    <x v="1"/>
    <n v="13"/>
    <x v="27"/>
    <x v="1"/>
    <x v="947"/>
    <x v="1"/>
    <s v="No"/>
    <x v="4"/>
    <n v="3.66"/>
    <n v="4.9400000000000004"/>
    <s v="Excellent"/>
    <x v="0"/>
    <x v="0"/>
  </r>
  <r>
    <x v="957"/>
    <x v="0"/>
    <n v="17"/>
    <x v="0"/>
    <x v="1"/>
    <n v="10"/>
    <x v="37"/>
    <x v="2"/>
    <x v="948"/>
    <x v="1"/>
    <s v="Yes"/>
    <x v="118"/>
    <n v="4.3600000000000003"/>
    <n v="4.92"/>
    <s v="Excellent"/>
    <x v="0"/>
    <x v="0"/>
  </r>
  <r>
    <x v="958"/>
    <x v="1"/>
    <n v="15"/>
    <x v="4"/>
    <x v="1"/>
    <n v="9"/>
    <x v="18"/>
    <x v="0"/>
    <x v="949"/>
    <x v="0"/>
    <s v="Yes"/>
    <x v="75"/>
    <n v="4.25"/>
    <n v="3.71"/>
    <s v="Good"/>
    <x v="0"/>
    <x v="1"/>
  </r>
  <r>
    <x v="959"/>
    <x v="0"/>
    <n v="17"/>
    <x v="5"/>
    <x v="0"/>
    <n v="16"/>
    <x v="37"/>
    <x v="0"/>
    <x v="950"/>
    <x v="1"/>
    <s v="No"/>
    <x v="181"/>
    <n v="4.78"/>
    <n v="3.13"/>
    <s v="Average"/>
    <x v="1"/>
    <x v="1"/>
  </r>
  <r>
    <x v="960"/>
    <x v="0"/>
    <n v="16"/>
    <x v="4"/>
    <x v="1"/>
    <n v="29"/>
    <x v="38"/>
    <x v="2"/>
    <x v="951"/>
    <x v="1"/>
    <s v="Yes"/>
    <x v="51"/>
    <n v="4.3"/>
    <n v="3.33"/>
    <s v="Average"/>
    <x v="1"/>
    <x v="1"/>
  </r>
  <r>
    <x v="961"/>
    <x v="0"/>
    <n v="15"/>
    <x v="6"/>
    <x v="0"/>
    <n v="15"/>
    <x v="13"/>
    <x v="3"/>
    <x v="952"/>
    <x v="1"/>
    <s v="Yes"/>
    <x v="29"/>
    <n v="3.88"/>
    <n v="4.99"/>
    <s v="Excellent"/>
    <x v="1"/>
    <x v="0"/>
  </r>
  <r>
    <x v="962"/>
    <x v="1"/>
    <n v="16"/>
    <x v="3"/>
    <x v="1"/>
    <n v="29"/>
    <x v="29"/>
    <x v="1"/>
    <x v="953"/>
    <x v="0"/>
    <s v="Yes"/>
    <x v="47"/>
    <n v="4.51"/>
    <n v="4.13"/>
    <s v="Good"/>
    <x v="1"/>
    <x v="0"/>
  </r>
  <r>
    <x v="963"/>
    <x v="0"/>
    <n v="16"/>
    <x v="2"/>
    <x v="1"/>
    <n v="5"/>
    <x v="21"/>
    <x v="0"/>
    <x v="954"/>
    <x v="1"/>
    <s v="Yes"/>
    <x v="184"/>
    <n v="4.3099999999999996"/>
    <n v="3.71"/>
    <s v="Good"/>
    <x v="0"/>
    <x v="1"/>
  </r>
  <r>
    <x v="964"/>
    <x v="0"/>
    <n v="15"/>
    <x v="2"/>
    <x v="0"/>
    <n v="15"/>
    <x v="39"/>
    <x v="3"/>
    <x v="955"/>
    <x v="1"/>
    <s v="Yes"/>
    <x v="82"/>
    <n v="3.85"/>
    <n v="3.58"/>
    <s v="Good"/>
    <x v="1"/>
    <x v="0"/>
  </r>
  <r>
    <x v="965"/>
    <x v="0"/>
    <n v="15"/>
    <x v="0"/>
    <x v="0"/>
    <n v="23"/>
    <x v="6"/>
    <x v="1"/>
    <x v="956"/>
    <x v="0"/>
    <s v="Yes"/>
    <x v="47"/>
    <n v="4.3600000000000003"/>
    <n v="3.51"/>
    <s v="Good"/>
    <x v="1"/>
    <x v="1"/>
  </r>
  <r>
    <x v="966"/>
    <x v="0"/>
    <n v="15"/>
    <x v="6"/>
    <x v="1"/>
    <n v="13"/>
    <x v="33"/>
    <x v="0"/>
    <x v="957"/>
    <x v="0"/>
    <s v="No"/>
    <x v="85"/>
    <n v="4.7300000000000004"/>
    <n v="4.33"/>
    <s v="Good"/>
    <x v="0"/>
    <x v="1"/>
  </r>
  <r>
    <x v="967"/>
    <x v="1"/>
    <n v="18"/>
    <x v="5"/>
    <x v="0"/>
    <n v="6"/>
    <x v="8"/>
    <x v="0"/>
    <x v="958"/>
    <x v="1"/>
    <s v="Yes"/>
    <x v="158"/>
    <n v="3.54"/>
    <n v="3.84"/>
    <s v="Good"/>
    <x v="0"/>
    <x v="1"/>
  </r>
  <r>
    <x v="968"/>
    <x v="1"/>
    <n v="15"/>
    <x v="0"/>
    <x v="0"/>
    <n v="16"/>
    <x v="3"/>
    <x v="2"/>
    <x v="959"/>
    <x v="0"/>
    <s v="Yes"/>
    <x v="139"/>
    <n v="4.45"/>
    <n v="4.93"/>
    <s v="Excellent"/>
    <x v="1"/>
    <x v="0"/>
  </r>
  <r>
    <x v="969"/>
    <x v="0"/>
    <n v="15"/>
    <x v="6"/>
    <x v="0"/>
    <n v="8"/>
    <x v="2"/>
    <x v="1"/>
    <x v="960"/>
    <x v="1"/>
    <s v="Yes"/>
    <x v="164"/>
    <n v="4.0199999999999996"/>
    <n v="4.37"/>
    <s v="Good"/>
    <x v="0"/>
    <x v="0"/>
  </r>
  <r>
    <x v="970"/>
    <x v="1"/>
    <n v="15"/>
    <x v="1"/>
    <x v="0"/>
    <n v="8"/>
    <x v="34"/>
    <x v="3"/>
    <x v="961"/>
    <x v="0"/>
    <s v="Yes"/>
    <x v="65"/>
    <n v="3.94"/>
    <n v="4.58"/>
    <s v="Excellent"/>
    <x v="0"/>
    <x v="0"/>
  </r>
  <r>
    <x v="971"/>
    <x v="0"/>
    <n v="15"/>
    <x v="7"/>
    <x v="0"/>
    <n v="22"/>
    <x v="8"/>
    <x v="3"/>
    <x v="962"/>
    <x v="0"/>
    <s v="No"/>
    <x v="38"/>
    <n v="4.09"/>
    <n v="3.59"/>
    <s v="Good"/>
    <x v="1"/>
    <x v="0"/>
  </r>
  <r>
    <x v="972"/>
    <x v="0"/>
    <n v="17"/>
    <x v="0"/>
    <x v="1"/>
    <n v="19"/>
    <x v="20"/>
    <x v="3"/>
    <x v="963"/>
    <x v="1"/>
    <s v="No"/>
    <x v="93"/>
    <n v="4.01"/>
    <n v="3.16"/>
    <s v="Average"/>
    <x v="1"/>
    <x v="1"/>
  </r>
  <r>
    <x v="973"/>
    <x v="0"/>
    <n v="18"/>
    <x v="0"/>
    <x v="1"/>
    <n v="23"/>
    <x v="33"/>
    <x v="1"/>
    <x v="964"/>
    <x v="1"/>
    <s v="Yes"/>
    <x v="173"/>
    <n v="4.75"/>
    <n v="3.98"/>
    <s v="Good"/>
    <x v="1"/>
    <x v="0"/>
  </r>
  <r>
    <x v="974"/>
    <x v="1"/>
    <n v="16"/>
    <x v="5"/>
    <x v="0"/>
    <n v="17"/>
    <x v="3"/>
    <x v="3"/>
    <x v="965"/>
    <x v="1"/>
    <s v="Yes"/>
    <x v="200"/>
    <n v="3.91"/>
    <n v="3.63"/>
    <s v="Good"/>
    <x v="1"/>
    <x v="1"/>
  </r>
  <r>
    <x v="975"/>
    <x v="1"/>
    <n v="15"/>
    <x v="4"/>
    <x v="1"/>
    <n v="23"/>
    <x v="7"/>
    <x v="3"/>
    <x v="966"/>
    <x v="0"/>
    <s v="Yes"/>
    <x v="102"/>
    <n v="4.5999999999999996"/>
    <n v="3.4"/>
    <s v="Average"/>
    <x v="1"/>
    <x v="1"/>
  </r>
  <r>
    <x v="976"/>
    <x v="1"/>
    <n v="17"/>
    <x v="1"/>
    <x v="1"/>
    <n v="21"/>
    <x v="8"/>
    <x v="3"/>
    <x v="967"/>
    <x v="1"/>
    <s v="No"/>
    <x v="4"/>
    <n v="3.64"/>
    <n v="4.91"/>
    <s v="Excellent"/>
    <x v="1"/>
    <x v="0"/>
  </r>
  <r>
    <x v="977"/>
    <x v="1"/>
    <n v="17"/>
    <x v="5"/>
    <x v="0"/>
    <n v="10"/>
    <x v="25"/>
    <x v="2"/>
    <x v="968"/>
    <x v="1"/>
    <s v="No"/>
    <x v="199"/>
    <n v="4.93"/>
    <n v="3.89"/>
    <s v="Good"/>
    <x v="0"/>
    <x v="1"/>
  </r>
  <r>
    <x v="978"/>
    <x v="1"/>
    <n v="17"/>
    <x v="6"/>
    <x v="1"/>
    <n v="20"/>
    <x v="27"/>
    <x v="2"/>
    <x v="969"/>
    <x v="1"/>
    <s v="No"/>
    <x v="95"/>
    <n v="4.43"/>
    <n v="3.35"/>
    <s v="Average"/>
    <x v="1"/>
    <x v="1"/>
  </r>
  <r>
    <x v="979"/>
    <x v="1"/>
    <n v="16"/>
    <x v="6"/>
    <x v="0"/>
    <n v="28"/>
    <x v="0"/>
    <x v="1"/>
    <x v="970"/>
    <x v="1"/>
    <s v="No"/>
    <x v="100"/>
    <n v="4.5599999999999996"/>
    <n v="3.4"/>
    <s v="Average"/>
    <x v="1"/>
    <x v="0"/>
  </r>
  <r>
    <x v="980"/>
    <x v="1"/>
    <n v="15"/>
    <x v="6"/>
    <x v="0"/>
    <n v="16"/>
    <x v="26"/>
    <x v="1"/>
    <x v="659"/>
    <x v="1"/>
    <s v="Yes"/>
    <x v="141"/>
    <n v="3.95"/>
    <n v="3.56"/>
    <s v="Good"/>
    <x v="1"/>
    <x v="1"/>
  </r>
  <r>
    <x v="981"/>
    <x v="1"/>
    <n v="18"/>
    <x v="3"/>
    <x v="1"/>
    <n v="23"/>
    <x v="12"/>
    <x v="3"/>
    <x v="971"/>
    <x v="0"/>
    <s v="No"/>
    <x v="14"/>
    <n v="4.12"/>
    <n v="5"/>
    <s v="Excellent"/>
    <x v="1"/>
    <x v="0"/>
  </r>
  <r>
    <x v="982"/>
    <x v="1"/>
    <n v="18"/>
    <x v="6"/>
    <x v="0"/>
    <n v="9"/>
    <x v="39"/>
    <x v="2"/>
    <x v="972"/>
    <x v="1"/>
    <s v="No"/>
    <x v="197"/>
    <n v="3.84"/>
    <n v="3.54"/>
    <s v="Good"/>
    <x v="0"/>
    <x v="1"/>
  </r>
  <r>
    <x v="983"/>
    <x v="0"/>
    <n v="17"/>
    <x v="4"/>
    <x v="0"/>
    <n v="21"/>
    <x v="39"/>
    <x v="0"/>
    <x v="973"/>
    <x v="1"/>
    <s v="Yes"/>
    <x v="130"/>
    <n v="4.9000000000000004"/>
    <n v="3.66"/>
    <s v="Good"/>
    <x v="1"/>
    <x v="0"/>
  </r>
  <r>
    <x v="984"/>
    <x v="1"/>
    <n v="16"/>
    <x v="1"/>
    <x v="0"/>
    <n v="27"/>
    <x v="6"/>
    <x v="0"/>
    <x v="974"/>
    <x v="0"/>
    <s v="Yes"/>
    <x v="176"/>
    <n v="4.2300000000000004"/>
    <n v="4.32"/>
    <s v="Good"/>
    <x v="1"/>
    <x v="0"/>
  </r>
  <r>
    <x v="985"/>
    <x v="1"/>
    <n v="16"/>
    <x v="2"/>
    <x v="0"/>
    <n v="5"/>
    <x v="9"/>
    <x v="3"/>
    <x v="975"/>
    <x v="1"/>
    <s v="No"/>
    <x v="169"/>
    <n v="4.45"/>
    <n v="3.59"/>
    <s v="Good"/>
    <x v="0"/>
    <x v="1"/>
  </r>
  <r>
    <x v="986"/>
    <x v="1"/>
    <n v="16"/>
    <x v="7"/>
    <x v="0"/>
    <n v="29"/>
    <x v="2"/>
    <x v="3"/>
    <x v="976"/>
    <x v="1"/>
    <s v="No"/>
    <x v="156"/>
    <n v="4.5999999999999996"/>
    <n v="3.43"/>
    <s v="Average"/>
    <x v="1"/>
    <x v="1"/>
  </r>
  <r>
    <x v="987"/>
    <x v="1"/>
    <n v="18"/>
    <x v="4"/>
    <x v="1"/>
    <n v="28"/>
    <x v="7"/>
    <x v="2"/>
    <x v="977"/>
    <x v="1"/>
    <s v="No"/>
    <x v="2"/>
    <n v="4.0599999999999996"/>
    <n v="3.32"/>
    <s v="Average"/>
    <x v="1"/>
    <x v="1"/>
  </r>
  <r>
    <x v="988"/>
    <x v="1"/>
    <n v="17"/>
    <x v="4"/>
    <x v="1"/>
    <n v="27"/>
    <x v="22"/>
    <x v="2"/>
    <x v="978"/>
    <x v="1"/>
    <s v="No"/>
    <x v="0"/>
    <n v="4.58"/>
    <n v="3.63"/>
    <s v="Good"/>
    <x v="1"/>
    <x v="1"/>
  </r>
  <r>
    <x v="989"/>
    <x v="1"/>
    <n v="15"/>
    <x v="3"/>
    <x v="0"/>
    <n v="14"/>
    <x v="3"/>
    <x v="2"/>
    <x v="979"/>
    <x v="1"/>
    <s v="Yes"/>
    <x v="116"/>
    <n v="4.51"/>
    <n v="3.21"/>
    <s v="Average"/>
    <x v="0"/>
    <x v="1"/>
  </r>
  <r>
    <x v="990"/>
    <x v="1"/>
    <n v="18"/>
    <x v="2"/>
    <x v="0"/>
    <n v="19"/>
    <x v="15"/>
    <x v="1"/>
    <x v="980"/>
    <x v="0"/>
    <s v="Yes"/>
    <x v="19"/>
    <n v="4.5599999999999996"/>
    <n v="3.04"/>
    <s v="Average"/>
    <x v="1"/>
    <x v="1"/>
  </r>
  <r>
    <x v="991"/>
    <x v="1"/>
    <n v="17"/>
    <x v="2"/>
    <x v="1"/>
    <n v="27"/>
    <x v="0"/>
    <x v="1"/>
    <x v="981"/>
    <x v="0"/>
    <s v="No"/>
    <x v="50"/>
    <n v="4.2300000000000004"/>
    <n v="4.6100000000000003"/>
    <s v="Excellent"/>
    <x v="1"/>
    <x v="0"/>
  </r>
  <r>
    <x v="992"/>
    <x v="1"/>
    <n v="17"/>
    <x v="7"/>
    <x v="0"/>
    <n v="25"/>
    <x v="37"/>
    <x v="3"/>
    <x v="982"/>
    <x v="0"/>
    <s v="No"/>
    <x v="102"/>
    <n v="4.07"/>
    <n v="3.28"/>
    <s v="Average"/>
    <x v="1"/>
    <x v="1"/>
  </r>
  <r>
    <x v="993"/>
    <x v="1"/>
    <n v="15"/>
    <x v="7"/>
    <x v="1"/>
    <n v="25"/>
    <x v="0"/>
    <x v="1"/>
    <x v="983"/>
    <x v="1"/>
    <s v="No"/>
    <x v="30"/>
    <n v="3.83"/>
    <n v="4.55"/>
    <s v="Excellent"/>
    <x v="1"/>
    <x v="0"/>
  </r>
  <r>
    <x v="994"/>
    <x v="1"/>
    <n v="15"/>
    <x v="2"/>
    <x v="0"/>
    <n v="15"/>
    <x v="14"/>
    <x v="2"/>
    <x v="984"/>
    <x v="0"/>
    <s v="No"/>
    <x v="47"/>
    <n v="4.74"/>
    <n v="4.5999999999999996"/>
    <s v="Excellent"/>
    <x v="1"/>
    <x v="0"/>
  </r>
  <r>
    <x v="995"/>
    <x v="0"/>
    <n v="15"/>
    <x v="6"/>
    <x v="0"/>
    <n v="17"/>
    <x v="36"/>
    <x v="2"/>
    <x v="985"/>
    <x v="1"/>
    <s v="No"/>
    <x v="145"/>
    <n v="4.41"/>
    <n v="4.08"/>
    <s v="Good"/>
    <x v="1"/>
    <x v="0"/>
  </r>
  <r>
    <x v="996"/>
    <x v="0"/>
    <n v="16"/>
    <x v="4"/>
    <x v="0"/>
    <n v="9"/>
    <x v="14"/>
    <x v="1"/>
    <x v="986"/>
    <x v="1"/>
    <s v="Yes"/>
    <x v="194"/>
    <n v="4.17"/>
    <n v="3.62"/>
    <s v="Good"/>
    <x v="0"/>
    <x v="1"/>
  </r>
  <r>
    <x v="997"/>
    <x v="1"/>
    <n v="15"/>
    <x v="5"/>
    <x v="0"/>
    <n v="5"/>
    <x v="25"/>
    <x v="0"/>
    <x v="987"/>
    <x v="1"/>
    <s v="Yes"/>
    <x v="123"/>
    <n v="4.92"/>
    <n v="3.29"/>
    <s v="Average"/>
    <x v="0"/>
    <x v="1"/>
  </r>
  <r>
    <x v="998"/>
    <x v="1"/>
    <n v="17"/>
    <x v="7"/>
    <x v="0"/>
    <n v="28"/>
    <x v="0"/>
    <x v="3"/>
    <x v="988"/>
    <x v="0"/>
    <s v="Yes"/>
    <x v="55"/>
    <n v="3.57"/>
    <n v="4.47"/>
    <s v="Good"/>
    <x v="1"/>
    <x v="0"/>
  </r>
  <r>
    <x v="999"/>
    <x v="0"/>
    <n v="15"/>
    <x v="3"/>
    <x v="0"/>
    <n v="16"/>
    <x v="6"/>
    <x v="0"/>
    <x v="989"/>
    <x v="0"/>
    <s v="No"/>
    <x v="88"/>
    <n v="4.78"/>
    <n v="4.2"/>
    <s v="Good"/>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9590C0-D38C-4BE7-B8B5-EC143AAA08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17">
    <pivotField showAll="0"/>
    <pivotField showAll="0">
      <items count="3">
        <item x="1"/>
        <item x="0"/>
        <item t="default"/>
      </items>
    </pivotField>
    <pivotField showAll="0"/>
    <pivotField axis="axisRow" showAll="0">
      <items count="9">
        <item x="2"/>
        <item x="7"/>
        <item x="6"/>
        <item x="5"/>
        <item x="3"/>
        <item x="1"/>
        <item x="0"/>
        <item x="4"/>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Avg HSC Score by District" fld="13" subtotal="average" baseField="3" baseItem="4"/>
  </dataFields>
  <chartFormats count="2">
    <chartFormat chart="8"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19ADB3-D008-453F-BE7F-1279FC0763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4" firstHeaderRow="1" firstDataRow="1" firstDataCol="1"/>
  <pivotFields count="17">
    <pivotField showAll="0"/>
    <pivotField showAll="0">
      <items count="3">
        <item x="1"/>
        <item x="0"/>
        <item t="default"/>
      </items>
    </pivotField>
    <pivotField showAll="0"/>
    <pivotField showAll="0"/>
    <pivotField showAll="0">
      <items count="3">
        <item x="0"/>
        <item x="1"/>
        <item t="default"/>
      </items>
    </pivotField>
    <pivotField showAll="0"/>
    <pivotField axis="axisRow" showAll="0">
      <items count="41">
        <item x="32"/>
        <item x="20"/>
        <item x="29"/>
        <item x="2"/>
        <item x="39"/>
        <item x="30"/>
        <item x="16"/>
        <item x="28"/>
        <item x="5"/>
        <item x="33"/>
        <item x="0"/>
        <item x="9"/>
        <item x="17"/>
        <item x="15"/>
        <item x="38"/>
        <item x="21"/>
        <item x="1"/>
        <item x="14"/>
        <item x="8"/>
        <item x="7"/>
        <item x="6"/>
        <item x="23"/>
        <item x="25"/>
        <item x="27"/>
        <item x="3"/>
        <item x="35"/>
        <item x="36"/>
        <item x="12"/>
        <item x="34"/>
        <item x="4"/>
        <item x="19"/>
        <item x="37"/>
        <item x="24"/>
        <item x="26"/>
        <item x="13"/>
        <item x="18"/>
        <item x="10"/>
        <item x="22"/>
        <item x="11"/>
        <item x="31"/>
        <item t="default"/>
      </items>
    </pivotField>
    <pivotField showAll="0"/>
    <pivotField showAll="0"/>
    <pivotField showAll="0"/>
    <pivotField showAll="0"/>
    <pivotField showAll="0"/>
    <pivotField showAll="0"/>
    <pivotField dataField="1" showAll="0"/>
    <pivotField showAll="0"/>
    <pivotField showAll="0"/>
    <pivotField showAll="0"/>
  </pivotFields>
  <rowFields count="1">
    <field x="6"/>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Avg HSC Score by Attendance" fld="13" subtotal="average" baseField="6" baseItem="2"/>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0010B8-CC2B-4A14-BE3C-DF7857C961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7">
    <pivotField dataField="1"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16"/>
  </rowFields>
  <rowItems count="4">
    <i>
      <x/>
    </i>
    <i>
      <x v="1"/>
    </i>
    <i>
      <x v="2"/>
    </i>
    <i t="grand">
      <x/>
    </i>
  </rowItems>
  <colItems count="1">
    <i/>
  </colItems>
  <dataFields count="1">
    <dataField name="Total Students" fld="0" subtotal="count" baseField="16" baseItem="1"/>
  </dataFields>
  <chartFormats count="12">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6"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6" count="1" selected="0">
            <x v="0"/>
          </reference>
        </references>
      </pivotArea>
    </chartFormat>
    <chartFormat chart="3" format="11">
      <pivotArea type="data" outline="0" fieldPosition="0">
        <references count="2">
          <reference field="4294967294" count="1" selected="0">
            <x v="0"/>
          </reference>
          <reference field="16" count="1" selected="0">
            <x v="1"/>
          </reference>
        </references>
      </pivotArea>
    </chartFormat>
    <chartFormat chart="3" format="12">
      <pivotArea type="data" outline="0" fieldPosition="0">
        <references count="2">
          <reference field="4294967294" count="1" selected="0">
            <x v="0"/>
          </reference>
          <reference field="16"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6" count="1" selected="0">
            <x v="0"/>
          </reference>
        </references>
      </pivotArea>
    </chartFormat>
    <chartFormat chart="6" format="15">
      <pivotArea type="data" outline="0" fieldPosition="0">
        <references count="2">
          <reference field="4294967294" count="1" selected="0">
            <x v="0"/>
          </reference>
          <reference field="16" count="1" selected="0">
            <x v="1"/>
          </reference>
        </references>
      </pivotArea>
    </chartFormat>
    <chartFormat chart="6" format="16">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15364E-9F77-47EC-961A-68F4CF7FBE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7">
    <pivotField showAll="0"/>
    <pivotField showAll="0">
      <items count="3">
        <item x="1"/>
        <item x="0"/>
        <item t="default"/>
      </items>
    </pivotField>
    <pivotField showAll="0"/>
    <pivotField showAll="0"/>
    <pivotField showAll="0">
      <items count="3">
        <item x="0"/>
        <item x="1"/>
        <item t="default"/>
      </items>
    </pivotField>
    <pivotField showAll="0"/>
    <pivotField showAll="0"/>
    <pivotField axis="axisRow" showAll="0">
      <items count="5">
        <item x="0"/>
        <item x="2"/>
        <item x="1"/>
        <item x="3"/>
        <item t="default"/>
      </items>
    </pivotField>
    <pivotField showAll="0"/>
    <pivotField showAll="0">
      <items count="3">
        <item x="1"/>
        <item x="0"/>
        <item t="default"/>
      </items>
    </pivotField>
    <pivotField showAll="0"/>
    <pivotField showAll="0"/>
    <pivotField showAll="0"/>
    <pivotField dataField="1" showAll="0"/>
    <pivotField showAll="0"/>
    <pivotField showAll="0"/>
    <pivotField showAll="0"/>
  </pivotFields>
  <rowFields count="1">
    <field x="7"/>
  </rowFields>
  <rowItems count="5">
    <i>
      <x/>
    </i>
    <i>
      <x v="1"/>
    </i>
    <i>
      <x v="2"/>
    </i>
    <i>
      <x v="3"/>
    </i>
    <i t="grand">
      <x/>
    </i>
  </rowItems>
  <colItems count="1">
    <i/>
  </colItems>
  <dataFields count="1">
    <dataField name="Avg HSC Score by Parent Education" fld="13" subtotal="average" baseField="7" baseItem="2"/>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B74EE8-EBFE-4468-B0DE-6DC483A119C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9" firstHeaderRow="1" firstDataRow="1" firstDataCol="1"/>
  <pivotFields count="17">
    <pivotField showAll="0"/>
    <pivotField showAll="0">
      <items count="3">
        <item x="1"/>
        <item x="0"/>
        <item t="default"/>
      </items>
    </pivotField>
    <pivotField showAll="0"/>
    <pivotField showAll="0"/>
    <pivotField showAll="0">
      <items count="3">
        <item x="0"/>
        <item x="1"/>
        <item t="default"/>
      </items>
    </pivotField>
    <pivotField showAll="0"/>
    <pivotField showAll="0"/>
    <pivotField showAll="0"/>
    <pivotField axis="axisRow" showAll="0" measureFilter="1">
      <items count="991">
        <item x="39"/>
        <item x="945"/>
        <item x="970"/>
        <item x="881"/>
        <item x="143"/>
        <item x="130"/>
        <item x="158"/>
        <item x="420"/>
        <item x="499"/>
        <item x="808"/>
        <item x="530"/>
        <item x="915"/>
        <item x="91"/>
        <item x="556"/>
        <item x="984"/>
        <item x="930"/>
        <item x="973"/>
        <item x="302"/>
        <item x="857"/>
        <item x="643"/>
        <item x="93"/>
        <item x="311"/>
        <item x="481"/>
        <item x="906"/>
        <item x="825"/>
        <item x="708"/>
        <item x="56"/>
        <item x="985"/>
        <item x="730"/>
        <item x="133"/>
        <item x="121"/>
        <item x="589"/>
        <item x="917"/>
        <item x="805"/>
        <item x="865"/>
        <item x="531"/>
        <item x="892"/>
        <item x="417"/>
        <item x="511"/>
        <item x="987"/>
        <item x="846"/>
        <item x="10"/>
        <item x="428"/>
        <item x="718"/>
        <item x="385"/>
        <item x="673"/>
        <item x="188"/>
        <item x="579"/>
        <item x="838"/>
        <item x="240"/>
        <item x="146"/>
        <item x="299"/>
        <item x="178"/>
        <item x="340"/>
        <item x="835"/>
        <item x="262"/>
        <item x="976"/>
        <item x="795"/>
        <item x="48"/>
        <item x="861"/>
        <item x="791"/>
        <item x="693"/>
        <item x="769"/>
        <item x="356"/>
        <item x="182"/>
        <item x="981"/>
        <item x="67"/>
        <item x="105"/>
        <item x="819"/>
        <item x="144"/>
        <item x="929"/>
        <item x="726"/>
        <item x="809"/>
        <item x="357"/>
        <item x="111"/>
        <item x="744"/>
        <item x="219"/>
        <item x="692"/>
        <item x="596"/>
        <item x="76"/>
        <item x="248"/>
        <item x="61"/>
        <item x="336"/>
        <item x="310"/>
        <item x="334"/>
        <item x="354"/>
        <item x="737"/>
        <item x="78"/>
        <item x="831"/>
        <item x="519"/>
        <item x="14"/>
        <item x="875"/>
        <item x="949"/>
        <item x="460"/>
        <item x="120"/>
        <item x="739"/>
        <item x="27"/>
        <item x="800"/>
        <item x="883"/>
        <item x="409"/>
        <item x="192"/>
        <item x="398"/>
        <item x="26"/>
        <item x="74"/>
        <item x="73"/>
        <item x="938"/>
        <item x="542"/>
        <item x="273"/>
        <item x="232"/>
        <item x="565"/>
        <item x="250"/>
        <item x="772"/>
        <item x="645"/>
        <item x="651"/>
        <item x="213"/>
        <item x="255"/>
        <item x="275"/>
        <item x="361"/>
        <item x="777"/>
        <item x="595"/>
        <item x="885"/>
        <item x="864"/>
        <item x="868"/>
        <item x="413"/>
        <item x="774"/>
        <item x="899"/>
        <item x="625"/>
        <item x="507"/>
        <item x="23"/>
        <item x="527"/>
        <item x="810"/>
        <item x="926"/>
        <item x="797"/>
        <item x="580"/>
        <item x="254"/>
        <item x="902"/>
        <item x="921"/>
        <item x="89"/>
        <item x="551"/>
        <item x="672"/>
        <item x="670"/>
        <item x="566"/>
        <item x="633"/>
        <item x="289"/>
        <item x="487"/>
        <item x="845"/>
        <item x="374"/>
        <item x="760"/>
        <item x="465"/>
        <item x="871"/>
        <item x="373"/>
        <item x="157"/>
        <item x="281"/>
        <item x="257"/>
        <item x="222"/>
        <item x="568"/>
        <item x="715"/>
        <item x="980"/>
        <item x="884"/>
        <item x="536"/>
        <item x="550"/>
        <item x="363"/>
        <item x="234"/>
        <item x="353"/>
        <item x="173"/>
        <item x="947"/>
        <item x="974"/>
        <item x="266"/>
        <item x="332"/>
        <item x="939"/>
        <item x="582"/>
        <item x="427"/>
        <item x="548"/>
        <item x="575"/>
        <item x="927"/>
        <item x="270"/>
        <item x="848"/>
        <item x="649"/>
        <item x="924"/>
        <item x="583"/>
        <item x="9"/>
        <item x="268"/>
        <item x="560"/>
        <item x="852"/>
        <item x="661"/>
        <item x="193"/>
        <item x="514"/>
        <item x="534"/>
        <item x="438"/>
        <item x="790"/>
        <item x="515"/>
        <item x="525"/>
        <item x="657"/>
        <item x="510"/>
        <item x="747"/>
        <item x="445"/>
        <item x="572"/>
        <item x="271"/>
        <item x="626"/>
        <item x="754"/>
        <item x="681"/>
        <item x="318"/>
        <item x="621"/>
        <item x="682"/>
        <item x="932"/>
        <item x="569"/>
        <item x="755"/>
        <item x="126"/>
        <item x="563"/>
        <item x="798"/>
        <item x="516"/>
        <item x="119"/>
        <item x="383"/>
        <item x="251"/>
        <item x="125"/>
        <item x="450"/>
        <item x="167"/>
        <item x="574"/>
        <item x="274"/>
        <item x="401"/>
        <item x="245"/>
        <item x="260"/>
        <item x="983"/>
        <item x="668"/>
        <item x="490"/>
        <item x="655"/>
        <item x="841"/>
        <item x="502"/>
        <item x="533"/>
        <item x="640"/>
        <item x="953"/>
        <item x="650"/>
        <item x="432"/>
        <item x="570"/>
        <item x="988"/>
        <item x="154"/>
        <item x="844"/>
        <item x="641"/>
        <item x="573"/>
        <item x="32"/>
        <item x="523"/>
        <item x="399"/>
        <item x="124"/>
        <item x="628"/>
        <item x="416"/>
        <item x="878"/>
        <item x="630"/>
        <item x="65"/>
        <item x="714"/>
        <item x="335"/>
        <item x="956"/>
        <item x="278"/>
        <item x="472"/>
        <item x="610"/>
        <item x="503"/>
        <item x="229"/>
        <item x="394"/>
        <item x="415"/>
        <item x="305"/>
        <item x="13"/>
        <item x="256"/>
        <item x="967"/>
        <item x="540"/>
        <item x="770"/>
        <item x="97"/>
        <item x="840"/>
        <item x="189"/>
        <item x="775"/>
        <item x="449"/>
        <item x="71"/>
        <item x="367"/>
        <item x="283"/>
        <item x="901"/>
        <item x="185"/>
        <item x="96"/>
        <item x="322"/>
        <item x="721"/>
        <item x="677"/>
        <item x="697"/>
        <item x="479"/>
        <item x="447"/>
        <item x="338"/>
        <item x="29"/>
        <item x="478"/>
        <item x="695"/>
        <item x="258"/>
        <item x="72"/>
        <item x="905"/>
        <item x="267"/>
        <item x="842"/>
        <item x="482"/>
        <item x="773"/>
        <item x="142"/>
        <item x="236"/>
        <item x="753"/>
        <item x="785"/>
        <item x="187"/>
        <item x="948"/>
        <item x="180"/>
        <item x="508"/>
        <item x="648"/>
        <item x="713"/>
        <item x="348"/>
        <item x="486"/>
        <item x="940"/>
        <item x="63"/>
        <item x="545"/>
        <item x="403"/>
        <item x="286"/>
        <item x="893"/>
        <item x="326"/>
        <item x="607"/>
        <item x="53"/>
        <item x="443"/>
        <item x="226"/>
        <item x="781"/>
        <item x="535"/>
        <item x="833"/>
        <item x="895"/>
        <item x="309"/>
        <item x="176"/>
        <item x="83"/>
        <item x="19"/>
        <item x="37"/>
        <item x="139"/>
        <item x="597"/>
        <item x="369"/>
        <item x="242"/>
        <item x="317"/>
        <item x="295"/>
        <item x="41"/>
        <item x="957"/>
        <item x="666"/>
        <item x="653"/>
        <item x="933"/>
        <item x="801"/>
        <item x="513"/>
        <item x="269"/>
        <item x="823"/>
        <item x="971"/>
        <item x="458"/>
        <item x="965"/>
        <item x="716"/>
        <item x="388"/>
        <item x="522"/>
        <item x="461"/>
        <item x="671"/>
        <item x="968"/>
        <item x="778"/>
        <item x="496"/>
        <item x="412"/>
        <item x="866"/>
        <item x="201"/>
        <item x="103"/>
        <item x="768"/>
        <item x="782"/>
        <item x="156"/>
        <item x="230"/>
        <item x="498"/>
        <item x="615"/>
        <item x="379"/>
        <item x="903"/>
        <item x="365"/>
        <item x="860"/>
        <item x="473"/>
        <item x="43"/>
        <item x="889"/>
        <item x="106"/>
        <item x="88"/>
        <item x="812"/>
        <item x="419"/>
        <item x="36"/>
        <item x="381"/>
        <item x="617"/>
        <item x="707"/>
        <item x="181"/>
        <item x="344"/>
        <item x="599"/>
        <item x="282"/>
        <item x="827"/>
        <item x="856"/>
        <item x="904"/>
        <item x="779"/>
        <item x="725"/>
        <item x="404"/>
        <item x="244"/>
        <item x="635"/>
        <item x="325"/>
        <item x="396"/>
        <item x="179"/>
        <item x="732"/>
        <item x="656"/>
        <item x="616"/>
        <item x="811"/>
        <item x="584"/>
        <item x="675"/>
        <item x="877"/>
        <item x="456"/>
        <item x="284"/>
        <item x="277"/>
        <item x="934"/>
        <item x="320"/>
        <item x="82"/>
        <item x="345"/>
        <item x="384"/>
        <item x="734"/>
        <item x="169"/>
        <item x="370"/>
        <item x="659"/>
        <item x="711"/>
        <item x="439"/>
        <item x="132"/>
        <item x="60"/>
        <item x="395"/>
        <item x="422"/>
        <item x="252"/>
        <item x="470"/>
        <item x="42"/>
        <item x="539"/>
        <item x="764"/>
        <item x="789"/>
        <item x="205"/>
        <item x="85"/>
        <item x="306"/>
        <item x="758"/>
        <item x="33"/>
        <item x="223"/>
        <item x="567"/>
        <item x="214"/>
        <item x="66"/>
        <item x="249"/>
        <item x="477"/>
        <item x="436"/>
        <item x="221"/>
        <item x="816"/>
        <item x="323"/>
        <item x="814"/>
        <item x="909"/>
        <item x="717"/>
        <item x="942"/>
        <item x="824"/>
        <item x="745"/>
        <item x="161"/>
        <item x="163"/>
        <item x="434"/>
        <item x="500"/>
        <item x="207"/>
        <item x="637"/>
        <item x="807"/>
        <item x="220"/>
        <item x="594"/>
        <item x="131"/>
        <item x="623"/>
        <item x="298"/>
        <item x="663"/>
        <item x="858"/>
        <item x="504"/>
        <item x="873"/>
        <item x="972"/>
        <item x="68"/>
        <item x="100"/>
        <item x="313"/>
        <item x="17"/>
        <item x="784"/>
        <item x="423"/>
        <item x="55"/>
        <item x="658"/>
        <item x="787"/>
        <item x="389"/>
        <item x="109"/>
        <item x="162"/>
        <item x="908"/>
        <item x="59"/>
        <item x="296"/>
        <item x="849"/>
        <item x="34"/>
        <item x="155"/>
        <item x="954"/>
        <item x="141"/>
        <item x="69"/>
        <item x="347"/>
        <item x="925"/>
        <item x="247"/>
        <item x="890"/>
        <item x="64"/>
        <item x="183"/>
        <item x="411"/>
        <item x="544"/>
        <item x="136"/>
        <item x="571"/>
        <item x="647"/>
        <item x="959"/>
        <item x="349"/>
        <item x="8"/>
        <item x="592"/>
        <item x="598"/>
        <item x="70"/>
        <item x="152"/>
        <item x="894"/>
        <item x="448"/>
        <item x="15"/>
        <item x="489"/>
        <item x="44"/>
        <item x="216"/>
        <item x="329"/>
        <item x="287"/>
        <item x="767"/>
        <item x="7"/>
        <item x="975"/>
        <item x="469"/>
        <item x="731"/>
        <item x="512"/>
        <item x="108"/>
        <item x="4"/>
        <item x="390"/>
        <item x="75"/>
        <item x="604"/>
        <item x="437"/>
        <item x="618"/>
        <item x="699"/>
        <item x="678"/>
        <item x="581"/>
        <item x="588"/>
        <item x="129"/>
        <item x="231"/>
        <item x="689"/>
        <item x="880"/>
        <item x="601"/>
        <item x="50"/>
        <item x="644"/>
        <item x="113"/>
        <item x="149"/>
        <item x="346"/>
        <item x="454"/>
        <item x="532"/>
        <item x="910"/>
        <item x="237"/>
        <item x="483"/>
        <item x="702"/>
        <item x="360"/>
        <item x="467"/>
        <item x="886"/>
        <item x="243"/>
        <item x="264"/>
        <item x="700"/>
        <item x="876"/>
        <item x="962"/>
        <item x="619"/>
        <item x="611"/>
        <item x="922"/>
        <item x="986"/>
        <item x="704"/>
        <item x="688"/>
        <item x="107"/>
        <item x="342"/>
        <item x="38"/>
        <item x="54"/>
        <item x="867"/>
        <item x="494"/>
        <item x="765"/>
        <item x="521"/>
        <item x="624"/>
        <item x="352"/>
        <item x="400"/>
        <item x="543"/>
        <item x="160"/>
        <item x="746"/>
        <item x="52"/>
        <item x="796"/>
        <item x="696"/>
        <item x="265"/>
        <item x="557"/>
        <item x="444"/>
        <item x="837"/>
        <item x="224"/>
        <item x="497"/>
        <item x="208"/>
        <item x="200"/>
        <item x="405"/>
        <item x="665"/>
        <item x="49"/>
        <item x="830"/>
        <item x="184"/>
        <item x="821"/>
        <item x="351"/>
        <item x="944"/>
        <item x="751"/>
        <item x="958"/>
        <item x="612"/>
        <item x="742"/>
        <item x="667"/>
        <item x="253"/>
        <item x="709"/>
        <item x="862"/>
        <item x="206"/>
        <item x="288"/>
        <item x="912"/>
        <item x="92"/>
        <item x="691"/>
        <item x="451"/>
        <item x="554"/>
        <item x="850"/>
        <item x="485"/>
        <item x="164"/>
        <item x="982"/>
        <item x="799"/>
        <item x="339"/>
        <item x="115"/>
        <item x="553"/>
        <item x="246"/>
        <item x="429"/>
        <item x="22"/>
        <item x="879"/>
        <item x="679"/>
        <item x="914"/>
        <item x="418"/>
        <item x="327"/>
        <item x="518"/>
        <item x="636"/>
        <item x="712"/>
        <item x="928"/>
        <item x="538"/>
        <item x="459"/>
        <item x="608"/>
        <item x="98"/>
        <item x="116"/>
        <item x="813"/>
        <item x="430"/>
        <item x="31"/>
        <item x="802"/>
        <item x="495"/>
        <item x="95"/>
        <item x="145"/>
        <item x="238"/>
        <item x="51"/>
        <item x="977"/>
        <item x="30"/>
        <item x="492"/>
        <item x="239"/>
        <item x="687"/>
        <item x="654"/>
        <item x="736"/>
        <item x="474"/>
        <item x="724"/>
        <item x="520"/>
        <item x="918"/>
        <item x="463"/>
        <item x="20"/>
        <item x="202"/>
        <item x="330"/>
        <item x="137"/>
        <item x="165"/>
        <item x="963"/>
        <item x="820"/>
        <item x="426"/>
        <item x="441"/>
        <item x="606"/>
        <item x="28"/>
        <item x="776"/>
        <item x="961"/>
        <item x="421"/>
        <item x="471"/>
        <item x="112"/>
        <item x="194"/>
        <item x="392"/>
        <item x="685"/>
        <item x="602"/>
        <item x="435"/>
        <item x="291"/>
        <item x="148"/>
        <item x="585"/>
        <item x="393"/>
        <item x="407"/>
        <item x="197"/>
        <item x="806"/>
        <item x="509"/>
        <item x="203"/>
        <item x="303"/>
        <item x="549"/>
        <item x="198"/>
        <item x="58"/>
        <item x="558"/>
        <item x="433"/>
        <item x="690"/>
        <item x="590"/>
        <item x="743"/>
        <item x="84"/>
        <item x="676"/>
        <item x="815"/>
        <item x="408"/>
        <item x="321"/>
        <item x="343"/>
        <item x="276"/>
        <item x="735"/>
        <item x="898"/>
        <item x="355"/>
        <item x="832"/>
        <item x="853"/>
        <item x="680"/>
        <item x="18"/>
        <item x="135"/>
        <item x="646"/>
        <item x="127"/>
        <item x="475"/>
        <item x="506"/>
        <item x="936"/>
        <item x="90"/>
        <item x="564"/>
        <item x="153"/>
        <item x="828"/>
        <item x="77"/>
        <item x="817"/>
        <item x="638"/>
        <item x="366"/>
        <item x="476"/>
        <item x="652"/>
        <item x="101"/>
        <item x="491"/>
        <item x="468"/>
        <item x="440"/>
        <item x="935"/>
        <item x="546"/>
        <item x="694"/>
        <item x="294"/>
        <item x="190"/>
        <item x="684"/>
        <item x="793"/>
        <item x="794"/>
        <item x="874"/>
        <item x="662"/>
        <item x="541"/>
        <item x="911"/>
        <item x="632"/>
        <item x="822"/>
        <item x="888"/>
        <item x="979"/>
        <item x="324"/>
        <item x="290"/>
        <item x="159"/>
        <item x="943"/>
        <item x="47"/>
        <item x="300"/>
        <item x="147"/>
        <item x="804"/>
        <item x="308"/>
        <item x="528"/>
        <item x="748"/>
        <item x="6"/>
        <item x="669"/>
        <item x="576"/>
        <item x="603"/>
        <item x="705"/>
        <item x="818"/>
        <item x="446"/>
        <item x="701"/>
        <item x="951"/>
        <item x="683"/>
        <item x="622"/>
        <item x="722"/>
        <item x="285"/>
        <item x="45"/>
        <item x="350"/>
        <item x="138"/>
        <item x="614"/>
        <item x="57"/>
        <item x="5"/>
        <item x="931"/>
        <item x="377"/>
        <item x="552"/>
        <item x="559"/>
        <item x="0"/>
        <item x="872"/>
        <item x="168"/>
        <item x="397"/>
        <item x="174"/>
        <item x="786"/>
        <item x="749"/>
        <item x="613"/>
        <item x="341"/>
        <item x="24"/>
        <item x="117"/>
        <item x="11"/>
        <item x="750"/>
        <item x="937"/>
        <item x="80"/>
        <item x="741"/>
        <item x="855"/>
        <item x="900"/>
        <item x="836"/>
        <item x="372"/>
        <item x="175"/>
        <item x="453"/>
        <item x="304"/>
        <item x="362"/>
        <item x="634"/>
        <item x="761"/>
        <item x="204"/>
        <item x="457"/>
        <item x="319"/>
        <item x="897"/>
        <item x="727"/>
        <item x="578"/>
        <item x="292"/>
        <item x="371"/>
        <item x="834"/>
        <item x="387"/>
        <item x="431"/>
        <item x="642"/>
        <item x="140"/>
        <item x="896"/>
        <item x="102"/>
        <item x="627"/>
        <item x="16"/>
        <item x="488"/>
        <item x="719"/>
        <item x="104"/>
        <item x="639"/>
        <item x="122"/>
        <item x="235"/>
        <item x="199"/>
        <item x="375"/>
        <item x="79"/>
        <item x="455"/>
        <item x="171"/>
        <item x="87"/>
        <item x="674"/>
        <item x="196"/>
        <item x="609"/>
        <item x="720"/>
        <item x="81"/>
        <item x="631"/>
        <item x="783"/>
        <item x="462"/>
        <item x="733"/>
        <item x="859"/>
        <item x="263"/>
        <item x="870"/>
        <item x="328"/>
        <item x="21"/>
        <item x="829"/>
        <item x="792"/>
        <item x="406"/>
        <item x="851"/>
        <item x="966"/>
        <item x="629"/>
        <item x="887"/>
        <item x="664"/>
        <item x="587"/>
        <item x="738"/>
        <item x="493"/>
        <item x="763"/>
        <item x="217"/>
        <item x="425"/>
        <item x="382"/>
        <item x="766"/>
        <item x="907"/>
        <item x="86"/>
        <item x="380"/>
        <item x="293"/>
        <item x="442"/>
        <item x="660"/>
        <item x="209"/>
        <item x="756"/>
        <item x="314"/>
        <item x="561"/>
        <item x="279"/>
        <item x="123"/>
        <item x="952"/>
        <item x="218"/>
        <item x="919"/>
        <item x="259"/>
        <item x="989"/>
        <item x="759"/>
        <item x="537"/>
        <item x="620"/>
        <item x="591"/>
        <item x="941"/>
        <item x="386"/>
        <item x="969"/>
        <item x="762"/>
        <item x="170"/>
        <item x="114"/>
        <item x="424"/>
        <item x="854"/>
        <item x="847"/>
        <item x="228"/>
        <item x="723"/>
        <item x="211"/>
        <item x="151"/>
        <item x="312"/>
        <item x="391"/>
        <item x="788"/>
        <item x="301"/>
        <item x="307"/>
        <item x="869"/>
        <item x="729"/>
        <item x="916"/>
        <item x="215"/>
        <item x="978"/>
        <item x="62"/>
        <item x="780"/>
        <item x="752"/>
        <item x="501"/>
        <item x="517"/>
        <item x="771"/>
        <item x="757"/>
        <item x="593"/>
        <item x="863"/>
        <item x="195"/>
        <item x="3"/>
        <item x="505"/>
        <item x="94"/>
        <item x="241"/>
        <item x="35"/>
        <item x="950"/>
        <item x="402"/>
        <item x="40"/>
        <item x="378"/>
        <item x="920"/>
        <item x="172"/>
        <item x="280"/>
        <item x="128"/>
        <item x="261"/>
        <item x="410"/>
        <item x="150"/>
        <item x="826"/>
        <item x="225"/>
        <item x="464"/>
        <item x="577"/>
        <item x="118"/>
        <item x="526"/>
        <item x="710"/>
        <item x="368"/>
        <item x="331"/>
        <item x="376"/>
        <item x="882"/>
        <item x="333"/>
        <item x="524"/>
        <item x="452"/>
        <item x="686"/>
        <item x="843"/>
        <item x="2"/>
        <item x="358"/>
        <item x="359"/>
        <item x="364"/>
        <item x="12"/>
        <item x="960"/>
        <item x="547"/>
        <item x="272"/>
        <item x="1"/>
        <item x="891"/>
        <item x="698"/>
        <item x="555"/>
        <item x="706"/>
        <item x="99"/>
        <item x="210"/>
        <item x="466"/>
        <item x="233"/>
        <item x="315"/>
        <item x="480"/>
        <item x="703"/>
        <item x="186"/>
        <item x="212"/>
        <item x="25"/>
        <item x="946"/>
        <item x="728"/>
        <item x="110"/>
        <item x="529"/>
        <item x="227"/>
        <item x="600"/>
        <item x="166"/>
        <item x="191"/>
        <item x="316"/>
        <item x="839"/>
        <item x="414"/>
        <item x="803"/>
        <item x="955"/>
        <item x="337"/>
        <item x="605"/>
        <item x="46"/>
        <item x="134"/>
        <item x="177"/>
        <item x="923"/>
        <item x="586"/>
        <item x="562"/>
        <item x="913"/>
        <item x="740"/>
        <item x="484"/>
        <item x="964"/>
        <item x="297"/>
        <item t="default"/>
      </items>
    </pivotField>
    <pivotField showAll="0"/>
    <pivotField showAll="0"/>
    <pivotField showAll="0"/>
    <pivotField showAll="0"/>
    <pivotField dataField="1" showAll="0"/>
    <pivotField showAll="0"/>
    <pivotField showAll="0"/>
    <pivotField showAll="0"/>
  </pivotFields>
  <rowFields count="1">
    <field x="8"/>
  </rowFields>
  <rowItems count="16">
    <i>
      <x v="31"/>
    </i>
    <i>
      <x v="161"/>
    </i>
    <i>
      <x v="339"/>
    </i>
    <i>
      <x v="374"/>
    </i>
    <i>
      <x v="391"/>
    </i>
    <i>
      <x v="393"/>
    </i>
    <i>
      <x v="531"/>
    </i>
    <i>
      <x v="562"/>
    </i>
    <i>
      <x v="689"/>
    </i>
    <i>
      <x v="691"/>
    </i>
    <i>
      <x v="770"/>
    </i>
    <i>
      <x v="867"/>
    </i>
    <i>
      <x v="872"/>
    </i>
    <i>
      <x v="887"/>
    </i>
    <i>
      <x v="930"/>
    </i>
    <i t="grand">
      <x/>
    </i>
  </rowItems>
  <colItems count="1">
    <i/>
  </colItems>
  <dataFields count="1">
    <dataField name="Avg HSC Score by Family Income" fld="13" subtotal="average" baseField="8" baseItem="239"/>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78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DF0FA7-CA08-4251-94F8-1685FC52A3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04" firstHeaderRow="1" firstDataRow="1" firstDataCol="1"/>
  <pivotFields count="17">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Average of Previous_GPA" fld="11" subtotal="average" baseField="0" baseItem="0"/>
  </dataFields>
  <formats count="3">
    <format dxfId="26">
      <pivotArea grandRow="1" outline="0" collapsedLevelsAreSubtotals="1" fieldPosition="0"/>
    </format>
    <format dxfId="25">
      <pivotArea grandRow="1" outline="0" collapsedLevelsAreSubtotals="1" fieldPosition="0"/>
    </format>
    <format dxfId="2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06CEF4-EC4A-4C51-B7C2-B4FB99821C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04" firstHeaderRow="1" firstDataRow="1" firstDataCol="1"/>
  <pivotFields count="17">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SSC_Scor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B3BC6B-E604-4BD3-A18D-B8F1BAAFC2EC}" autoFormatId="16" applyNumberFormats="0" applyBorderFormats="0" applyFontFormats="0" applyPatternFormats="0" applyAlignmentFormats="0" applyWidthHeightFormats="0">
  <queryTableRefresh nextId="18">
    <queryTableFields count="17">
      <queryTableField id="1" name="Student_ID" tableColumnId="1"/>
      <queryTableField id="2" name="Gender" tableColumnId="2"/>
      <queryTableField id="3" name="Age" tableColumnId="3"/>
      <queryTableField id="4" name="District" tableColumnId="4"/>
      <queryTableField id="5" name="School_Type" tableColumnId="5"/>
      <queryTableField id="6" name="Study_Hours" tableColumnId="6"/>
      <queryTableField id="7" name="Attendance" tableColumnId="7"/>
      <queryTableField id="8" name="Parent_Education" tableColumnId="8"/>
      <queryTableField id="9" name="Family_Income" tableColumnId="9"/>
      <queryTableField id="10" name="Internet_Access" tableColumnId="10"/>
      <queryTableField id="11" name="Private_Tuition" tableColumnId="11"/>
      <queryTableField id="12" name="Previous_GPA" tableColumnId="12"/>
      <queryTableField id="13" name="SSC_Score" tableColumnId="13"/>
      <queryTableField id="14" name="HSC_Score" tableColumnId="14"/>
      <queryTableField id="15" name="Student_Category_on_HSS_Score" tableColumnId="15"/>
      <queryTableField id="16" name="Study_Level" tableColumnId="16"/>
      <queryTableField id="17" name="Improvement_Indicator"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EAA37E6-FF92-4FB8-A4E7-43D51F309618}" sourceName="Gender">
  <pivotTables>
    <pivotTable tabId="6" name="PivotTable4"/>
    <pivotTable tabId="3" name="PivotTable1"/>
    <pivotTable tabId="4" name="PivotTable2"/>
    <pivotTable tabId="5" name="PivotTable3"/>
    <pivotTable tabId="7" name="PivotTable5"/>
    <pivotTable tabId="16" name="PivotTable1"/>
    <pivotTable tabId="17" name="PivotTable2"/>
  </pivotTables>
  <data>
    <tabular pivotCacheId="141518420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DE88B50A-949A-47C1-9493-6751ABF83976}" sourceName="School_Type">
  <pivotTables>
    <pivotTable tabId="3" name="PivotTable1"/>
    <pivotTable tabId="6" name="PivotTable4"/>
    <pivotTable tabId="4" name="PivotTable2"/>
    <pivotTable tabId="5" name="PivotTable3"/>
    <pivotTable tabId="7" name="PivotTable5"/>
    <pivotTable tabId="16" name="PivotTable1"/>
    <pivotTable tabId="17" name="PivotTable2"/>
  </pivotTables>
  <data>
    <tabular pivotCacheId="141518420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_Type" xr10:uid="{CF5CD57D-B9DB-4550-9CCD-3875AADF6E1E}" cache="Slicer_School_Type" caption="School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41F34FE-3309-4466-8B08-9956A09E61FD}"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BD007FD-F1BB-4388-898B-CFBE60E7781C}" cache="Slicer_Gender" caption="GENDER" style="Slicer Style 2" rowHeight="241300"/>
  <slicer name="School_Type 1" xr10:uid="{67C078BF-B85E-4F3B-ABA3-7F7B38252C58}" cache="Slicer_School_Type" caption="SCHOOL TYPE"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A98781-A0C1-45A4-9949-01AF78F6905E}" name="bangladesh_student_performance" displayName="bangladesh_student_performance" ref="A1:Q1002" tableType="queryTable" totalsRowCount="1">
  <autoFilter ref="A1:Q1001" xr:uid="{13A98781-A0C1-45A4-9949-01AF78F6905E}"/>
  <tableColumns count="17">
    <tableColumn id="1" xr3:uid="{9A48326A-EC6D-408A-BBCE-2778223C3570}" uniqueName="1" name="Student_ID" queryTableFieldId="1"/>
    <tableColumn id="2" xr3:uid="{C6AEAE7B-B138-49D5-A049-3D60CC1278D4}" uniqueName="2" name="Gender" queryTableFieldId="2" dataDxfId="23" totalsRowDxfId="22"/>
    <tableColumn id="3" xr3:uid="{C6123940-E232-4B78-A51F-CCE4B6C2B69F}" uniqueName="3" name="Age" queryTableFieldId="3"/>
    <tableColumn id="4" xr3:uid="{80DF0E97-4CC1-4CEE-BE69-796D6290572E}" uniqueName="4" name="District" queryTableFieldId="4" dataDxfId="21" totalsRowDxfId="20"/>
    <tableColumn id="5" xr3:uid="{A5F9B181-2B6A-4FE1-8E51-29266B6258DA}" uniqueName="5" name="School_Type" queryTableFieldId="5" dataDxfId="19" totalsRowDxfId="18"/>
    <tableColumn id="6" xr3:uid="{3C6828D7-BBAA-4DCB-8922-6ACD97420FDE}" uniqueName="6" name="Study_Hours" queryTableFieldId="6"/>
    <tableColumn id="7" xr3:uid="{F0B43136-476E-432F-BB3A-112C22D887C1}" uniqueName="7" name="Attendance" queryTableFieldId="7"/>
    <tableColumn id="8" xr3:uid="{A0DEE745-D241-4496-B442-ED30ADCF5C38}" uniqueName="8" name="Parent_Education" queryTableFieldId="8" dataDxfId="17" totalsRowDxfId="16"/>
    <tableColumn id="9" xr3:uid="{81708A4C-F2F2-4A9C-8DCD-D2DA0B300873}" uniqueName="9" name="Family_Income" queryTableFieldId="9"/>
    <tableColumn id="10" xr3:uid="{6271AEC3-1DBD-4679-9D0F-CCE5F1870CA2}" uniqueName="10" name="Internet_Access" queryTableFieldId="10" dataDxfId="15" totalsRowDxfId="14"/>
    <tableColumn id="11" xr3:uid="{B5045D12-934F-45D3-B406-9193F59ED1EC}" uniqueName="11" name="Private_Tuition" queryTableFieldId="11" dataDxfId="13" totalsRowDxfId="12"/>
    <tableColumn id="12" xr3:uid="{1084FBBA-9085-4D1D-BF39-A366BCF47CD1}" uniqueName="12" name="Previous_GPA" queryTableFieldId="12"/>
    <tableColumn id="13" xr3:uid="{8964D087-5E56-44F9-8834-1A0F746D0343}" uniqueName="13" name="SSC_Score" queryTableFieldId="13"/>
    <tableColumn id="14" xr3:uid="{AF770194-BCCE-468C-B8C9-40E7D63FDBA3}" uniqueName="14" name="HSC_Score" queryTableFieldId="14"/>
    <tableColumn id="15" xr3:uid="{935D022A-0855-44E7-B435-E1D64A3D8EB3}" uniqueName="15" name="Student_Category_on_HSS_Score" queryTableFieldId="15"/>
    <tableColumn id="16" xr3:uid="{8DED948F-0A24-42C0-8CDA-CE3C3966FD5C}" uniqueName="16" name="Study_Level" queryTableFieldId="16"/>
    <tableColumn id="17" xr3:uid="{FCB28247-EF1E-43A1-AB9E-52A234A21088}" uniqueName="17" name="Improvement_Indicator"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8CFC-72A2-45C2-8BAE-F066C526FBFE}">
  <dimension ref="A3:B12"/>
  <sheetViews>
    <sheetView workbookViewId="0">
      <selection activeCell="L10" sqref="L10"/>
    </sheetView>
  </sheetViews>
  <sheetFormatPr defaultRowHeight="14.5" x14ac:dyDescent="0.35"/>
  <cols>
    <col min="1" max="1" width="12.36328125" bestFit="1" customWidth="1"/>
    <col min="2" max="2" width="21.7265625" bestFit="1" customWidth="1"/>
  </cols>
  <sheetData>
    <row r="3" spans="1:2" x14ac:dyDescent="0.35">
      <c r="A3" s="1" t="s">
        <v>43</v>
      </c>
      <c r="B3" t="s">
        <v>47</v>
      </c>
    </row>
    <row r="4" spans="1:2" x14ac:dyDescent="0.35">
      <c r="A4" s="2" t="s">
        <v>30</v>
      </c>
      <c r="B4" s="7">
        <v>4.1128800000000005</v>
      </c>
    </row>
    <row r="5" spans="1:2" x14ac:dyDescent="0.35">
      <c r="A5" s="2" t="s">
        <v>42</v>
      </c>
      <c r="B5" s="7">
        <v>3.9988721804511278</v>
      </c>
    </row>
    <row r="6" spans="1:2" x14ac:dyDescent="0.35">
      <c r="A6" s="2" t="s">
        <v>41</v>
      </c>
      <c r="B6" s="7">
        <v>4.0493076923076918</v>
      </c>
    </row>
    <row r="7" spans="1:2" x14ac:dyDescent="0.35">
      <c r="A7" s="2" t="s">
        <v>39</v>
      </c>
      <c r="B7" s="7">
        <v>3.9464885496183206</v>
      </c>
    </row>
    <row r="8" spans="1:2" x14ac:dyDescent="0.35">
      <c r="A8" s="2" t="s">
        <v>33</v>
      </c>
      <c r="B8" s="7">
        <v>3.9912605042016809</v>
      </c>
    </row>
    <row r="9" spans="1:2" x14ac:dyDescent="0.35">
      <c r="A9" s="2" t="s">
        <v>26</v>
      </c>
      <c r="B9" s="7">
        <v>4.0908196721311478</v>
      </c>
    </row>
    <row r="10" spans="1:2" x14ac:dyDescent="0.35">
      <c r="A10" s="2" t="s">
        <v>18</v>
      </c>
      <c r="B10" s="7">
        <v>3.9088617886178865</v>
      </c>
    </row>
    <row r="11" spans="1:2" x14ac:dyDescent="0.35">
      <c r="A11" s="2" t="s">
        <v>37</v>
      </c>
      <c r="B11" s="7">
        <v>4.0035897435897452</v>
      </c>
    </row>
    <row r="12" spans="1:2" x14ac:dyDescent="0.35">
      <c r="A12" s="2" t="s">
        <v>44</v>
      </c>
      <c r="B12" s="7">
        <v>4.0126099999999978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82E2E-0C54-4F45-B65D-46EC4ED89FAA}">
  <dimension ref="A3:B44"/>
  <sheetViews>
    <sheetView workbookViewId="0">
      <selection activeCell="M6" sqref="M6"/>
    </sheetView>
  </sheetViews>
  <sheetFormatPr defaultRowHeight="14.5" x14ac:dyDescent="0.35"/>
  <cols>
    <col min="1" max="1" width="12.36328125" bestFit="1" customWidth="1"/>
    <col min="2" max="2" width="25.54296875" bestFit="1" customWidth="1"/>
  </cols>
  <sheetData>
    <row r="3" spans="1:2" x14ac:dyDescent="0.35">
      <c r="A3" s="1" t="s">
        <v>43</v>
      </c>
      <c r="B3" t="s">
        <v>46</v>
      </c>
    </row>
    <row r="4" spans="1:2" x14ac:dyDescent="0.35">
      <c r="A4" s="2">
        <v>0.6</v>
      </c>
      <c r="B4" s="7">
        <v>4.0869230769230764</v>
      </c>
    </row>
    <row r="5" spans="1:2" x14ac:dyDescent="0.35">
      <c r="A5" s="2">
        <v>0.61</v>
      </c>
      <c r="B5" s="7">
        <v>4.1533333333333333</v>
      </c>
    </row>
    <row r="6" spans="1:2" x14ac:dyDescent="0.35">
      <c r="A6" s="2">
        <v>0.62</v>
      </c>
      <c r="B6" s="7">
        <v>3.9533333333333331</v>
      </c>
    </row>
    <row r="7" spans="1:2" x14ac:dyDescent="0.35">
      <c r="A7" s="2">
        <v>0.63</v>
      </c>
      <c r="B7" s="7">
        <v>3.871428571428571</v>
      </c>
    </row>
    <row r="8" spans="1:2" x14ac:dyDescent="0.35">
      <c r="A8" s="2">
        <v>0.64</v>
      </c>
      <c r="B8" s="7">
        <v>3.7776000000000001</v>
      </c>
    </row>
    <row r="9" spans="1:2" x14ac:dyDescent="0.35">
      <c r="A9" s="2">
        <v>0.65</v>
      </c>
      <c r="B9" s="7">
        <v>4.2224000000000013</v>
      </c>
    </row>
    <row r="10" spans="1:2" x14ac:dyDescent="0.35">
      <c r="A10" s="2">
        <v>0.66</v>
      </c>
      <c r="B10" s="7">
        <v>4.087727272727272</v>
      </c>
    </row>
    <row r="11" spans="1:2" x14ac:dyDescent="0.35">
      <c r="A11" s="2">
        <v>0.67</v>
      </c>
      <c r="B11" s="7">
        <v>4.0664999999999996</v>
      </c>
    </row>
    <row r="12" spans="1:2" x14ac:dyDescent="0.35">
      <c r="A12" s="2">
        <v>0.68</v>
      </c>
      <c r="B12" s="7">
        <v>3.995000000000001</v>
      </c>
    </row>
    <row r="13" spans="1:2" x14ac:dyDescent="0.35">
      <c r="A13" s="2">
        <v>0.69</v>
      </c>
      <c r="B13" s="7">
        <v>4.022333333333334</v>
      </c>
    </row>
    <row r="14" spans="1:2" x14ac:dyDescent="0.35">
      <c r="A14" s="2">
        <v>0.7</v>
      </c>
      <c r="B14" s="7">
        <v>4.036896551724138</v>
      </c>
    </row>
    <row r="15" spans="1:2" x14ac:dyDescent="0.35">
      <c r="A15" s="2">
        <v>0.71</v>
      </c>
      <c r="B15" s="7">
        <v>4.0614285714285714</v>
      </c>
    </row>
    <row r="16" spans="1:2" x14ac:dyDescent="0.35">
      <c r="A16" s="2">
        <v>0.72</v>
      </c>
      <c r="B16" s="7">
        <v>3.8376923076923077</v>
      </c>
    </row>
    <row r="17" spans="1:2" x14ac:dyDescent="0.35">
      <c r="A17" s="2">
        <v>0.73</v>
      </c>
      <c r="B17" s="7">
        <v>3.6983333333333337</v>
      </c>
    </row>
    <row r="18" spans="1:2" x14ac:dyDescent="0.35">
      <c r="A18" s="2">
        <v>0.74</v>
      </c>
      <c r="B18" s="7">
        <v>3.9519999999999995</v>
      </c>
    </row>
    <row r="19" spans="1:2" x14ac:dyDescent="0.35">
      <c r="A19" s="2">
        <v>0.75</v>
      </c>
      <c r="B19" s="7">
        <v>4.1908695652173913</v>
      </c>
    </row>
    <row r="20" spans="1:2" x14ac:dyDescent="0.35">
      <c r="A20" s="2">
        <v>0.76</v>
      </c>
      <c r="B20" s="7">
        <v>4.1180000000000003</v>
      </c>
    </row>
    <row r="21" spans="1:2" x14ac:dyDescent="0.35">
      <c r="A21" s="2">
        <v>0.77</v>
      </c>
      <c r="B21" s="7">
        <v>3.8760869565217386</v>
      </c>
    </row>
    <row r="22" spans="1:2" x14ac:dyDescent="0.35">
      <c r="A22" s="2">
        <v>0.78</v>
      </c>
      <c r="B22" s="7">
        <v>4.1617857142857133</v>
      </c>
    </row>
    <row r="23" spans="1:2" x14ac:dyDescent="0.35">
      <c r="A23" s="2">
        <v>0.79</v>
      </c>
      <c r="B23" s="7">
        <v>3.927407407407407</v>
      </c>
    </row>
    <row r="24" spans="1:2" x14ac:dyDescent="0.35">
      <c r="A24" s="2">
        <v>0.8</v>
      </c>
      <c r="B24" s="7">
        <v>3.9238461538461546</v>
      </c>
    </row>
    <row r="25" spans="1:2" x14ac:dyDescent="0.35">
      <c r="A25" s="2">
        <v>0.81</v>
      </c>
      <c r="B25" s="7">
        <v>4.1286206896551727</v>
      </c>
    </row>
    <row r="26" spans="1:2" x14ac:dyDescent="0.35">
      <c r="A26" s="2">
        <v>0.82</v>
      </c>
      <c r="B26" s="7">
        <v>4.1274999999999986</v>
      </c>
    </row>
    <row r="27" spans="1:2" x14ac:dyDescent="0.35">
      <c r="A27" s="2">
        <v>0.83</v>
      </c>
      <c r="B27" s="7">
        <v>4.0484999999999989</v>
      </c>
    </row>
    <row r="28" spans="1:2" x14ac:dyDescent="0.35">
      <c r="A28" s="2">
        <v>0.84</v>
      </c>
      <c r="B28" s="7">
        <v>4.1619230769230766</v>
      </c>
    </row>
    <row r="29" spans="1:2" x14ac:dyDescent="0.35">
      <c r="A29" s="2">
        <v>0.85</v>
      </c>
      <c r="B29" s="7">
        <v>4.2208333333333341</v>
      </c>
    </row>
    <row r="30" spans="1:2" x14ac:dyDescent="0.35">
      <c r="A30" s="2">
        <v>0.86</v>
      </c>
      <c r="B30" s="7">
        <v>4.0638461538461543</v>
      </c>
    </row>
    <row r="31" spans="1:2" x14ac:dyDescent="0.35">
      <c r="A31" s="2">
        <v>0.87</v>
      </c>
      <c r="B31" s="7">
        <v>3.9153125000000002</v>
      </c>
    </row>
    <row r="32" spans="1:2" x14ac:dyDescent="0.35">
      <c r="A32" s="2">
        <v>0.88</v>
      </c>
      <c r="B32" s="7">
        <v>4.1258823529411766</v>
      </c>
    </row>
    <row r="33" spans="1:2" x14ac:dyDescent="0.35">
      <c r="A33" s="2">
        <v>0.89</v>
      </c>
      <c r="B33" s="7">
        <v>4.1377272727272727</v>
      </c>
    </row>
    <row r="34" spans="1:2" x14ac:dyDescent="0.35">
      <c r="A34" s="2">
        <v>0.9</v>
      </c>
      <c r="B34" s="7">
        <v>3.794285714285714</v>
      </c>
    </row>
    <row r="35" spans="1:2" x14ac:dyDescent="0.35">
      <c r="A35" s="2">
        <v>0.91</v>
      </c>
      <c r="B35" s="7">
        <v>3.8584848484848475</v>
      </c>
    </row>
    <row r="36" spans="1:2" x14ac:dyDescent="0.35">
      <c r="A36" s="2">
        <v>0.92</v>
      </c>
      <c r="B36" s="7">
        <v>3.9223809523809514</v>
      </c>
    </row>
    <row r="37" spans="1:2" x14ac:dyDescent="0.35">
      <c r="A37" s="2">
        <v>0.93</v>
      </c>
      <c r="B37" s="7">
        <v>3.9158333333333335</v>
      </c>
    </row>
    <row r="38" spans="1:2" x14ac:dyDescent="0.35">
      <c r="A38" s="2">
        <v>0.94</v>
      </c>
      <c r="B38" s="7">
        <v>4.1159090909090903</v>
      </c>
    </row>
    <row r="39" spans="1:2" x14ac:dyDescent="0.35">
      <c r="A39" s="2">
        <v>0.95</v>
      </c>
      <c r="B39" s="7">
        <v>4.0613793103448259</v>
      </c>
    </row>
    <row r="40" spans="1:2" x14ac:dyDescent="0.35">
      <c r="A40" s="2">
        <v>0.96</v>
      </c>
      <c r="B40" s="7">
        <v>4.0265217391304349</v>
      </c>
    </row>
    <row r="41" spans="1:2" x14ac:dyDescent="0.35">
      <c r="A41" s="2">
        <v>0.97</v>
      </c>
      <c r="B41" s="7">
        <v>4.0449999999999999</v>
      </c>
    </row>
    <row r="42" spans="1:2" x14ac:dyDescent="0.35">
      <c r="A42" s="2">
        <v>0.98</v>
      </c>
      <c r="B42" s="7">
        <v>3.9110526315789484</v>
      </c>
    </row>
    <row r="43" spans="1:2" x14ac:dyDescent="0.35">
      <c r="A43" s="2">
        <v>0.99</v>
      </c>
      <c r="B43" s="7">
        <v>3.7755999999999994</v>
      </c>
    </row>
    <row r="44" spans="1:2" x14ac:dyDescent="0.35">
      <c r="A44" s="2" t="s">
        <v>44</v>
      </c>
      <c r="B44" s="7">
        <v>4.0126099999999987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ECA3-E426-4AAB-89EB-D2E02090FC66}">
  <dimension ref="A3:B7"/>
  <sheetViews>
    <sheetView workbookViewId="0">
      <selection activeCell="L13" sqref="L13"/>
    </sheetView>
  </sheetViews>
  <sheetFormatPr defaultRowHeight="14.5" x14ac:dyDescent="0.35"/>
  <cols>
    <col min="1" max="1" width="12.36328125" bestFit="1" customWidth="1"/>
    <col min="2" max="2" width="13.08984375" bestFit="1" customWidth="1"/>
  </cols>
  <sheetData>
    <row r="3" spans="1:2" x14ac:dyDescent="0.35">
      <c r="A3" s="1" t="s">
        <v>43</v>
      </c>
      <c r="B3" t="s">
        <v>45</v>
      </c>
    </row>
    <row r="4" spans="1:2" x14ac:dyDescent="0.35">
      <c r="A4" s="2" t="s">
        <v>29</v>
      </c>
      <c r="B4" s="7">
        <v>484</v>
      </c>
    </row>
    <row r="5" spans="1:2" x14ac:dyDescent="0.35">
      <c r="A5" s="2" t="s">
        <v>24</v>
      </c>
      <c r="B5" s="7">
        <v>507</v>
      </c>
    </row>
    <row r="6" spans="1:2" x14ac:dyDescent="0.35">
      <c r="A6" s="2" t="s">
        <v>38</v>
      </c>
      <c r="B6" s="7">
        <v>9</v>
      </c>
    </row>
    <row r="7" spans="1:2" x14ac:dyDescent="0.35">
      <c r="A7" s="2" t="s">
        <v>44</v>
      </c>
      <c r="B7" s="7">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C884-8884-4E63-AEE0-519C23F08055}">
  <dimension ref="A3:B8"/>
  <sheetViews>
    <sheetView workbookViewId="0">
      <selection activeCell="L10" sqref="L10"/>
    </sheetView>
  </sheetViews>
  <sheetFormatPr defaultRowHeight="14.5" x14ac:dyDescent="0.35"/>
  <cols>
    <col min="1" max="1" width="15.453125" bestFit="1" customWidth="1"/>
    <col min="2" max="2" width="30.36328125" bestFit="1" customWidth="1"/>
  </cols>
  <sheetData>
    <row r="3" spans="1:2" x14ac:dyDescent="0.35">
      <c r="A3" s="1" t="s">
        <v>43</v>
      </c>
      <c r="B3" t="s">
        <v>48</v>
      </c>
    </row>
    <row r="4" spans="1:2" x14ac:dyDescent="0.35">
      <c r="A4" s="2" t="s">
        <v>20</v>
      </c>
      <c r="B4" s="7">
        <v>4.0007490636704128</v>
      </c>
    </row>
    <row r="5" spans="1:2" x14ac:dyDescent="0.35">
      <c r="A5" s="2" t="s">
        <v>31</v>
      </c>
      <c r="B5" s="7">
        <v>4.0345418326693236</v>
      </c>
    </row>
    <row r="6" spans="1:2" x14ac:dyDescent="0.35">
      <c r="A6" s="2" t="s">
        <v>27</v>
      </c>
      <c r="B6" s="7">
        <v>3.9636170212765989</v>
      </c>
    </row>
    <row r="7" spans="1:2" x14ac:dyDescent="0.35">
      <c r="A7" s="2" t="s">
        <v>40</v>
      </c>
      <c r="B7" s="7">
        <v>4.0497570850202447</v>
      </c>
    </row>
    <row r="8" spans="1:2" x14ac:dyDescent="0.35">
      <c r="A8" s="2" t="s">
        <v>44</v>
      </c>
      <c r="B8" s="7">
        <v>4.0126099999999996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EF14C-9F6B-4078-95BC-818B5625396A}">
  <dimension ref="A3:B19"/>
  <sheetViews>
    <sheetView workbookViewId="0">
      <selection activeCell="J20" sqref="J20"/>
    </sheetView>
  </sheetViews>
  <sheetFormatPr defaultRowHeight="14.5" x14ac:dyDescent="0.35"/>
  <cols>
    <col min="1" max="1" width="12.36328125" bestFit="1" customWidth="1"/>
    <col min="2" max="2" width="27.81640625" bestFit="1" customWidth="1"/>
  </cols>
  <sheetData>
    <row r="3" spans="1:2" x14ac:dyDescent="0.35">
      <c r="A3" s="1" t="s">
        <v>43</v>
      </c>
      <c r="B3" t="s">
        <v>49</v>
      </c>
    </row>
    <row r="4" spans="1:2" x14ac:dyDescent="0.35">
      <c r="A4" s="2">
        <v>11184</v>
      </c>
      <c r="B4" s="7">
        <v>4.9800000000000004</v>
      </c>
    </row>
    <row r="5" spans="1:2" x14ac:dyDescent="0.35">
      <c r="A5" s="2">
        <v>17371</v>
      </c>
      <c r="B5" s="7">
        <v>5</v>
      </c>
    </row>
    <row r="6" spans="1:2" x14ac:dyDescent="0.35">
      <c r="A6" s="2">
        <v>27118</v>
      </c>
      <c r="B6" s="7">
        <v>5</v>
      </c>
    </row>
    <row r="7" spans="1:2" x14ac:dyDescent="0.35">
      <c r="A7" s="2">
        <v>28610</v>
      </c>
      <c r="B7" s="7">
        <v>4.99</v>
      </c>
    </row>
    <row r="8" spans="1:2" x14ac:dyDescent="0.35">
      <c r="A8" s="2">
        <v>29522</v>
      </c>
      <c r="B8" s="7">
        <v>4.99</v>
      </c>
    </row>
    <row r="9" spans="1:2" x14ac:dyDescent="0.35">
      <c r="A9" s="2">
        <v>29680</v>
      </c>
      <c r="B9" s="7">
        <v>4.99</v>
      </c>
    </row>
    <row r="10" spans="1:2" x14ac:dyDescent="0.35">
      <c r="A10" s="2">
        <v>36627</v>
      </c>
      <c r="B10" s="7">
        <v>4.9800000000000004</v>
      </c>
    </row>
    <row r="11" spans="1:2" x14ac:dyDescent="0.35">
      <c r="A11" s="2">
        <v>38572</v>
      </c>
      <c r="B11" s="7">
        <v>4.9800000000000004</v>
      </c>
    </row>
    <row r="12" spans="1:2" x14ac:dyDescent="0.35">
      <c r="A12" s="2">
        <v>44675</v>
      </c>
      <c r="B12" s="7">
        <v>4.9800000000000004</v>
      </c>
    </row>
    <row r="13" spans="1:2" x14ac:dyDescent="0.35">
      <c r="A13" s="2">
        <v>44754</v>
      </c>
      <c r="B13" s="7">
        <v>5</v>
      </c>
    </row>
    <row r="14" spans="1:2" x14ac:dyDescent="0.35">
      <c r="A14" s="2">
        <v>49169</v>
      </c>
      <c r="B14" s="7">
        <v>5</v>
      </c>
    </row>
    <row r="15" spans="1:2" x14ac:dyDescent="0.35">
      <c r="A15" s="2">
        <v>53492</v>
      </c>
      <c r="B15" s="7">
        <v>4.99</v>
      </c>
    </row>
    <row r="16" spans="1:2" x14ac:dyDescent="0.35">
      <c r="A16" s="2">
        <v>53894</v>
      </c>
      <c r="B16" s="7">
        <v>5</v>
      </c>
    </row>
    <row r="17" spans="1:2" x14ac:dyDescent="0.35">
      <c r="A17" s="2">
        <v>54632</v>
      </c>
      <c r="B17" s="7">
        <v>4.9800000000000004</v>
      </c>
    </row>
    <row r="18" spans="1:2" x14ac:dyDescent="0.35">
      <c r="A18" s="2">
        <v>56714</v>
      </c>
      <c r="B18" s="7">
        <v>4.9800000000000004</v>
      </c>
    </row>
    <row r="19" spans="1:2" x14ac:dyDescent="0.35">
      <c r="A19" s="2" t="s">
        <v>44</v>
      </c>
      <c r="B19" s="7">
        <v>4.9893333333333354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7683-76F0-4065-BBE6-819DBEC37B9D}">
  <dimension ref="A3:E1004"/>
  <sheetViews>
    <sheetView topLeftCell="A992" workbookViewId="0">
      <selection activeCell="B1004" sqref="B1004"/>
    </sheetView>
  </sheetViews>
  <sheetFormatPr defaultRowHeight="14.5" x14ac:dyDescent="0.35"/>
  <cols>
    <col min="1" max="1" width="12.36328125" bestFit="1" customWidth="1"/>
    <col min="2" max="2" width="22.1796875" bestFit="1" customWidth="1"/>
  </cols>
  <sheetData>
    <row r="3" spans="1:5" x14ac:dyDescent="0.35">
      <c r="A3" s="1" t="s">
        <v>43</v>
      </c>
      <c r="B3" t="s">
        <v>51</v>
      </c>
    </row>
    <row r="4" spans="1:5" x14ac:dyDescent="0.35">
      <c r="A4" s="2">
        <v>1</v>
      </c>
      <c r="B4" s="7">
        <v>4.83</v>
      </c>
      <c r="C4" s="6"/>
    </row>
    <row r="5" spans="1:5" x14ac:dyDescent="0.35">
      <c r="A5" s="2">
        <v>2</v>
      </c>
      <c r="B5" s="7">
        <v>4.96</v>
      </c>
    </row>
    <row r="6" spans="1:5" ht="23.5" x14ac:dyDescent="0.55000000000000004">
      <c r="A6" s="2">
        <v>3</v>
      </c>
      <c r="B6" s="7">
        <v>4.32</v>
      </c>
      <c r="D6" s="5">
        <f>AVERAGE(B4:B1003)</f>
        <v>3.994930000000001</v>
      </c>
    </row>
    <row r="7" spans="1:5" x14ac:dyDescent="0.35">
      <c r="A7" s="2">
        <v>4</v>
      </c>
      <c r="B7" s="7">
        <v>4.63</v>
      </c>
    </row>
    <row r="8" spans="1:5" x14ac:dyDescent="0.35">
      <c r="A8" s="2">
        <v>5</v>
      </c>
      <c r="B8" s="7">
        <v>4.5</v>
      </c>
    </row>
    <row r="9" spans="1:5" x14ac:dyDescent="0.35">
      <c r="A9" s="2">
        <v>6</v>
      </c>
      <c r="B9" s="7">
        <v>4.4000000000000004</v>
      </c>
    </row>
    <row r="10" spans="1:5" x14ac:dyDescent="0.35">
      <c r="A10" s="2">
        <v>7</v>
      </c>
      <c r="B10" s="7">
        <v>3.61</v>
      </c>
    </row>
    <row r="11" spans="1:5" x14ac:dyDescent="0.35">
      <c r="A11" s="2">
        <v>8</v>
      </c>
      <c r="B11" s="7">
        <v>3.11</v>
      </c>
    </row>
    <row r="12" spans="1:5" x14ac:dyDescent="0.35">
      <c r="A12" s="2">
        <v>9</v>
      </c>
      <c r="B12" s="7">
        <v>3.69</v>
      </c>
    </row>
    <row r="13" spans="1:5" x14ac:dyDescent="0.35">
      <c r="A13" s="2">
        <v>10</v>
      </c>
      <c r="B13" s="7">
        <v>4.33</v>
      </c>
    </row>
    <row r="14" spans="1:5" x14ac:dyDescent="0.35">
      <c r="A14" s="2">
        <v>11</v>
      </c>
      <c r="B14" s="7">
        <v>3.21</v>
      </c>
      <c r="E14">
        <f>AVERAGE(B1004)</f>
        <v>3.994930000000001</v>
      </c>
    </row>
    <row r="15" spans="1:5" x14ac:dyDescent="0.35">
      <c r="A15" s="2">
        <v>12</v>
      </c>
      <c r="B15" s="7">
        <v>3.02</v>
      </c>
    </row>
    <row r="16" spans="1:5" x14ac:dyDescent="0.35">
      <c r="A16" s="2">
        <v>13</v>
      </c>
      <c r="B16" s="7">
        <v>3.28</v>
      </c>
    </row>
    <row r="17" spans="1:2" x14ac:dyDescent="0.35">
      <c r="A17" s="2">
        <v>14</v>
      </c>
      <c r="B17" s="7">
        <v>4.43</v>
      </c>
    </row>
    <row r="18" spans="1:2" x14ac:dyDescent="0.35">
      <c r="A18" s="2">
        <v>15</v>
      </c>
      <c r="B18" s="7">
        <v>4.95</v>
      </c>
    </row>
    <row r="19" spans="1:2" x14ac:dyDescent="0.35">
      <c r="A19" s="2">
        <v>16</v>
      </c>
      <c r="B19" s="7">
        <v>4.97</v>
      </c>
    </row>
    <row r="20" spans="1:2" x14ac:dyDescent="0.35">
      <c r="A20" s="2">
        <v>17</v>
      </c>
      <c r="B20" s="7">
        <v>3.99</v>
      </c>
    </row>
    <row r="21" spans="1:2" x14ac:dyDescent="0.35">
      <c r="A21" s="2">
        <v>18</v>
      </c>
      <c r="B21" s="7">
        <v>4.74</v>
      </c>
    </row>
    <row r="22" spans="1:2" x14ac:dyDescent="0.35">
      <c r="A22" s="2">
        <v>19</v>
      </c>
      <c r="B22" s="7">
        <v>4.47</v>
      </c>
    </row>
    <row r="23" spans="1:2" x14ac:dyDescent="0.35">
      <c r="A23" s="2">
        <v>20</v>
      </c>
      <c r="B23" s="7">
        <v>4</v>
      </c>
    </row>
    <row r="24" spans="1:2" x14ac:dyDescent="0.35">
      <c r="A24" s="2">
        <v>21</v>
      </c>
      <c r="B24" s="7">
        <v>4.1500000000000004</v>
      </c>
    </row>
    <row r="25" spans="1:2" x14ac:dyDescent="0.35">
      <c r="A25" s="2">
        <v>22</v>
      </c>
      <c r="B25" s="7">
        <v>3.27</v>
      </c>
    </row>
    <row r="26" spans="1:2" x14ac:dyDescent="0.35">
      <c r="A26" s="2">
        <v>23</v>
      </c>
      <c r="B26" s="7">
        <v>4.88</v>
      </c>
    </row>
    <row r="27" spans="1:2" x14ac:dyDescent="0.35">
      <c r="A27" s="2">
        <v>24</v>
      </c>
      <c r="B27" s="7">
        <v>3.7</v>
      </c>
    </row>
    <row r="28" spans="1:2" x14ac:dyDescent="0.35">
      <c r="A28" s="2">
        <v>25</v>
      </c>
      <c r="B28" s="7">
        <v>3.89</v>
      </c>
    </row>
    <row r="29" spans="1:2" x14ac:dyDescent="0.35">
      <c r="A29" s="2">
        <v>26</v>
      </c>
      <c r="B29" s="7">
        <v>4.34</v>
      </c>
    </row>
    <row r="30" spans="1:2" x14ac:dyDescent="0.35">
      <c r="A30" s="2">
        <v>27</v>
      </c>
      <c r="B30" s="7">
        <v>3.67</v>
      </c>
    </row>
    <row r="31" spans="1:2" x14ac:dyDescent="0.35">
      <c r="A31" s="2">
        <v>28</v>
      </c>
      <c r="B31" s="7">
        <v>3.51</v>
      </c>
    </row>
    <row r="32" spans="1:2" x14ac:dyDescent="0.35">
      <c r="A32" s="2">
        <v>29</v>
      </c>
      <c r="B32" s="7">
        <v>4.26</v>
      </c>
    </row>
    <row r="33" spans="1:2" x14ac:dyDescent="0.35">
      <c r="A33" s="2">
        <v>30</v>
      </c>
      <c r="B33" s="7">
        <v>3.05</v>
      </c>
    </row>
    <row r="34" spans="1:2" x14ac:dyDescent="0.35">
      <c r="A34" s="2">
        <v>31</v>
      </c>
      <c r="B34" s="7">
        <v>4.4400000000000004</v>
      </c>
    </row>
    <row r="35" spans="1:2" x14ac:dyDescent="0.35">
      <c r="A35" s="2">
        <v>32</v>
      </c>
      <c r="B35" s="7">
        <v>4.03</v>
      </c>
    </row>
    <row r="36" spans="1:2" x14ac:dyDescent="0.35">
      <c r="A36" s="2">
        <v>33</v>
      </c>
      <c r="B36" s="7">
        <v>4.21</v>
      </c>
    </row>
    <row r="37" spans="1:2" x14ac:dyDescent="0.35">
      <c r="A37" s="2">
        <v>34</v>
      </c>
      <c r="B37" s="7">
        <v>4.26</v>
      </c>
    </row>
    <row r="38" spans="1:2" x14ac:dyDescent="0.35">
      <c r="A38" s="2">
        <v>35</v>
      </c>
      <c r="B38" s="7">
        <v>4.05</v>
      </c>
    </row>
    <row r="39" spans="1:2" x14ac:dyDescent="0.35">
      <c r="A39" s="2">
        <v>36</v>
      </c>
      <c r="B39" s="7">
        <v>4.17</v>
      </c>
    </row>
    <row r="40" spans="1:2" x14ac:dyDescent="0.35">
      <c r="A40" s="2">
        <v>37</v>
      </c>
      <c r="B40" s="7">
        <v>4.37</v>
      </c>
    </row>
    <row r="41" spans="1:2" x14ac:dyDescent="0.35">
      <c r="A41" s="2">
        <v>38</v>
      </c>
      <c r="B41" s="7">
        <v>4.51</v>
      </c>
    </row>
    <row r="42" spans="1:2" x14ac:dyDescent="0.35">
      <c r="A42" s="2">
        <v>39</v>
      </c>
      <c r="B42" s="7">
        <v>4.45</v>
      </c>
    </row>
    <row r="43" spans="1:2" x14ac:dyDescent="0.35">
      <c r="A43" s="2">
        <v>40</v>
      </c>
      <c r="B43" s="7">
        <v>4.74</v>
      </c>
    </row>
    <row r="44" spans="1:2" x14ac:dyDescent="0.35">
      <c r="A44" s="2">
        <v>41</v>
      </c>
      <c r="B44" s="7">
        <v>3.38</v>
      </c>
    </row>
    <row r="45" spans="1:2" x14ac:dyDescent="0.35">
      <c r="A45" s="2">
        <v>42</v>
      </c>
      <c r="B45" s="7">
        <v>3.8</v>
      </c>
    </row>
    <row r="46" spans="1:2" x14ac:dyDescent="0.35">
      <c r="A46" s="2">
        <v>43</v>
      </c>
      <c r="B46" s="7">
        <v>4.9000000000000004</v>
      </c>
    </row>
    <row r="47" spans="1:2" x14ac:dyDescent="0.35">
      <c r="A47" s="2">
        <v>44</v>
      </c>
      <c r="B47" s="7">
        <v>3.79</v>
      </c>
    </row>
    <row r="48" spans="1:2" x14ac:dyDescent="0.35">
      <c r="A48" s="2">
        <v>45</v>
      </c>
      <c r="B48" s="7">
        <v>3.25</v>
      </c>
    </row>
    <row r="49" spans="1:2" x14ac:dyDescent="0.35">
      <c r="A49" s="2">
        <v>46</v>
      </c>
      <c r="B49" s="7">
        <v>4.05</v>
      </c>
    </row>
    <row r="50" spans="1:2" x14ac:dyDescent="0.35">
      <c r="A50" s="2">
        <v>47</v>
      </c>
      <c r="B50" s="7">
        <v>3.22</v>
      </c>
    </row>
    <row r="51" spans="1:2" x14ac:dyDescent="0.35">
      <c r="A51" s="2">
        <v>48</v>
      </c>
      <c r="B51" s="7">
        <v>3.41</v>
      </c>
    </row>
    <row r="52" spans="1:2" x14ac:dyDescent="0.35">
      <c r="A52" s="2">
        <v>49</v>
      </c>
      <c r="B52" s="7">
        <v>5</v>
      </c>
    </row>
    <row r="53" spans="1:2" x14ac:dyDescent="0.35">
      <c r="A53" s="2">
        <v>50</v>
      </c>
      <c r="B53" s="7">
        <v>4.08</v>
      </c>
    </row>
    <row r="54" spans="1:2" x14ac:dyDescent="0.35">
      <c r="A54" s="2">
        <v>51</v>
      </c>
      <c r="B54" s="7">
        <v>3.57</v>
      </c>
    </row>
    <row r="55" spans="1:2" x14ac:dyDescent="0.35">
      <c r="A55" s="2">
        <v>52</v>
      </c>
      <c r="B55" s="7">
        <v>4.99</v>
      </c>
    </row>
    <row r="56" spans="1:2" x14ac:dyDescent="0.35">
      <c r="A56" s="2">
        <v>53</v>
      </c>
      <c r="B56" s="7">
        <v>4.93</v>
      </c>
    </row>
    <row r="57" spans="1:2" x14ac:dyDescent="0.35">
      <c r="A57" s="2">
        <v>54</v>
      </c>
      <c r="B57" s="7">
        <v>3.88</v>
      </c>
    </row>
    <row r="58" spans="1:2" x14ac:dyDescent="0.35">
      <c r="A58" s="2">
        <v>55</v>
      </c>
      <c r="B58" s="7">
        <v>3.52</v>
      </c>
    </row>
    <row r="59" spans="1:2" x14ac:dyDescent="0.35">
      <c r="A59" s="2">
        <v>56</v>
      </c>
      <c r="B59" s="7">
        <v>4.68</v>
      </c>
    </row>
    <row r="60" spans="1:2" x14ac:dyDescent="0.35">
      <c r="A60" s="2">
        <v>57</v>
      </c>
      <c r="B60" s="7">
        <v>4.43</v>
      </c>
    </row>
    <row r="61" spans="1:2" x14ac:dyDescent="0.35">
      <c r="A61" s="2">
        <v>58</v>
      </c>
      <c r="B61" s="7">
        <v>4.37</v>
      </c>
    </row>
    <row r="62" spans="1:2" x14ac:dyDescent="0.35">
      <c r="A62" s="2">
        <v>59</v>
      </c>
      <c r="B62" s="7">
        <v>4.79</v>
      </c>
    </row>
    <row r="63" spans="1:2" x14ac:dyDescent="0.35">
      <c r="A63" s="2">
        <v>60</v>
      </c>
      <c r="B63" s="7">
        <v>4.38</v>
      </c>
    </row>
    <row r="64" spans="1:2" x14ac:dyDescent="0.35">
      <c r="A64" s="2">
        <v>61</v>
      </c>
      <c r="B64" s="7">
        <v>3.57</v>
      </c>
    </row>
    <row r="65" spans="1:2" x14ac:dyDescent="0.35">
      <c r="A65" s="2">
        <v>62</v>
      </c>
      <c r="B65" s="7">
        <v>4.3899999999999997</v>
      </c>
    </row>
    <row r="66" spans="1:2" x14ac:dyDescent="0.35">
      <c r="A66" s="2">
        <v>63</v>
      </c>
      <c r="B66" s="7">
        <v>3.61</v>
      </c>
    </row>
    <row r="67" spans="1:2" x14ac:dyDescent="0.35">
      <c r="A67" s="2">
        <v>64</v>
      </c>
      <c r="B67" s="7">
        <v>4.5199999999999996</v>
      </c>
    </row>
    <row r="68" spans="1:2" x14ac:dyDescent="0.35">
      <c r="A68" s="2">
        <v>65</v>
      </c>
      <c r="B68" s="7">
        <v>4.24</v>
      </c>
    </row>
    <row r="69" spans="1:2" x14ac:dyDescent="0.35">
      <c r="A69" s="2">
        <v>66</v>
      </c>
      <c r="B69" s="7">
        <v>3.15</v>
      </c>
    </row>
    <row r="70" spans="1:2" x14ac:dyDescent="0.35">
      <c r="A70" s="2">
        <v>67</v>
      </c>
      <c r="B70" s="7">
        <v>4.03</v>
      </c>
    </row>
    <row r="71" spans="1:2" x14ac:dyDescent="0.35">
      <c r="A71" s="2">
        <v>68</v>
      </c>
      <c r="B71" s="7">
        <v>3.69</v>
      </c>
    </row>
    <row r="72" spans="1:2" x14ac:dyDescent="0.35">
      <c r="A72" s="2">
        <v>69</v>
      </c>
      <c r="B72" s="7">
        <v>3.66</v>
      </c>
    </row>
    <row r="73" spans="1:2" x14ac:dyDescent="0.35">
      <c r="A73" s="2">
        <v>70</v>
      </c>
      <c r="B73" s="7">
        <v>4.2</v>
      </c>
    </row>
    <row r="74" spans="1:2" x14ac:dyDescent="0.35">
      <c r="A74" s="2">
        <v>71</v>
      </c>
      <c r="B74" s="7">
        <v>3.64</v>
      </c>
    </row>
    <row r="75" spans="1:2" x14ac:dyDescent="0.35">
      <c r="A75" s="2">
        <v>72</v>
      </c>
      <c r="B75" s="7">
        <v>4.55</v>
      </c>
    </row>
    <row r="76" spans="1:2" x14ac:dyDescent="0.35">
      <c r="A76" s="2">
        <v>73</v>
      </c>
      <c r="B76" s="7">
        <v>3.14</v>
      </c>
    </row>
    <row r="77" spans="1:2" x14ac:dyDescent="0.35">
      <c r="A77" s="2">
        <v>74</v>
      </c>
      <c r="B77" s="7">
        <v>4.32</v>
      </c>
    </row>
    <row r="78" spans="1:2" x14ac:dyDescent="0.35">
      <c r="A78" s="2">
        <v>75</v>
      </c>
      <c r="B78" s="7">
        <v>4.62</v>
      </c>
    </row>
    <row r="79" spans="1:2" x14ac:dyDescent="0.35">
      <c r="A79" s="2">
        <v>76</v>
      </c>
      <c r="B79" s="7">
        <v>4.3499999999999996</v>
      </c>
    </row>
    <row r="80" spans="1:2" x14ac:dyDescent="0.35">
      <c r="A80" s="2">
        <v>77</v>
      </c>
      <c r="B80" s="7">
        <v>3.99</v>
      </c>
    </row>
    <row r="81" spans="1:2" x14ac:dyDescent="0.35">
      <c r="A81" s="2">
        <v>78</v>
      </c>
      <c r="B81" s="7">
        <v>4.9000000000000004</v>
      </c>
    </row>
    <row r="82" spans="1:2" x14ac:dyDescent="0.35">
      <c r="A82" s="2">
        <v>79</v>
      </c>
      <c r="B82" s="7">
        <v>3.6</v>
      </c>
    </row>
    <row r="83" spans="1:2" x14ac:dyDescent="0.35">
      <c r="A83" s="2">
        <v>80</v>
      </c>
      <c r="B83" s="7">
        <v>3.04</v>
      </c>
    </row>
    <row r="84" spans="1:2" x14ac:dyDescent="0.35">
      <c r="A84" s="2">
        <v>81</v>
      </c>
      <c r="B84" s="7">
        <v>3.86</v>
      </c>
    </row>
    <row r="85" spans="1:2" x14ac:dyDescent="0.35">
      <c r="A85" s="2">
        <v>82</v>
      </c>
      <c r="B85" s="7">
        <v>3.07</v>
      </c>
    </row>
    <row r="86" spans="1:2" x14ac:dyDescent="0.35">
      <c r="A86" s="2">
        <v>83</v>
      </c>
      <c r="B86" s="7">
        <v>4.91</v>
      </c>
    </row>
    <row r="87" spans="1:2" x14ac:dyDescent="0.35">
      <c r="A87" s="2">
        <v>84</v>
      </c>
      <c r="B87" s="7">
        <v>3.42</v>
      </c>
    </row>
    <row r="88" spans="1:2" x14ac:dyDescent="0.35">
      <c r="A88" s="2">
        <v>85</v>
      </c>
      <c r="B88" s="7">
        <v>4.58</v>
      </c>
    </row>
    <row r="89" spans="1:2" x14ac:dyDescent="0.35">
      <c r="A89" s="2">
        <v>86</v>
      </c>
      <c r="B89" s="7">
        <v>4.55</v>
      </c>
    </row>
    <row r="90" spans="1:2" x14ac:dyDescent="0.35">
      <c r="A90" s="2">
        <v>87</v>
      </c>
      <c r="B90" s="7">
        <v>3.44</v>
      </c>
    </row>
    <row r="91" spans="1:2" x14ac:dyDescent="0.35">
      <c r="A91" s="2">
        <v>88</v>
      </c>
      <c r="B91" s="7">
        <v>4.24</v>
      </c>
    </row>
    <row r="92" spans="1:2" x14ac:dyDescent="0.35">
      <c r="A92" s="2">
        <v>89</v>
      </c>
      <c r="B92" s="7">
        <v>3.1</v>
      </c>
    </row>
    <row r="93" spans="1:2" x14ac:dyDescent="0.35">
      <c r="A93" s="2">
        <v>90</v>
      </c>
      <c r="B93" s="7">
        <v>3.97</v>
      </c>
    </row>
    <row r="94" spans="1:2" x14ac:dyDescent="0.35">
      <c r="A94" s="2">
        <v>91</v>
      </c>
      <c r="B94" s="7">
        <v>3.03</v>
      </c>
    </row>
    <row r="95" spans="1:2" x14ac:dyDescent="0.35">
      <c r="A95" s="2">
        <v>92</v>
      </c>
      <c r="B95" s="7">
        <v>4.84</v>
      </c>
    </row>
    <row r="96" spans="1:2" x14ac:dyDescent="0.35">
      <c r="A96" s="2">
        <v>93</v>
      </c>
      <c r="B96" s="7">
        <v>4.95</v>
      </c>
    </row>
    <row r="97" spans="1:2" x14ac:dyDescent="0.35">
      <c r="A97" s="2">
        <v>94</v>
      </c>
      <c r="B97" s="7">
        <v>3.44</v>
      </c>
    </row>
    <row r="98" spans="1:2" x14ac:dyDescent="0.35">
      <c r="A98" s="2">
        <v>95</v>
      </c>
      <c r="B98" s="7">
        <v>3.42</v>
      </c>
    </row>
    <row r="99" spans="1:2" x14ac:dyDescent="0.35">
      <c r="A99" s="2">
        <v>96</v>
      </c>
      <c r="B99" s="7">
        <v>4.51</v>
      </c>
    </row>
    <row r="100" spans="1:2" x14ac:dyDescent="0.35">
      <c r="A100" s="2">
        <v>97</v>
      </c>
      <c r="B100" s="7">
        <v>3.51</v>
      </c>
    </row>
    <row r="101" spans="1:2" x14ac:dyDescent="0.35">
      <c r="A101" s="2">
        <v>98</v>
      </c>
      <c r="B101" s="7">
        <v>4.79</v>
      </c>
    </row>
    <row r="102" spans="1:2" x14ac:dyDescent="0.35">
      <c r="A102" s="2">
        <v>99</v>
      </c>
      <c r="B102" s="7">
        <v>4.1500000000000004</v>
      </c>
    </row>
    <row r="103" spans="1:2" x14ac:dyDescent="0.35">
      <c r="A103" s="2">
        <v>100</v>
      </c>
      <c r="B103" s="7">
        <v>3.7</v>
      </c>
    </row>
    <row r="104" spans="1:2" x14ac:dyDescent="0.35">
      <c r="A104" s="2">
        <v>101</v>
      </c>
      <c r="B104" s="7">
        <v>4.67</v>
      </c>
    </row>
    <row r="105" spans="1:2" x14ac:dyDescent="0.35">
      <c r="A105" s="2">
        <v>102</v>
      </c>
      <c r="B105" s="7">
        <v>3.99</v>
      </c>
    </row>
    <row r="106" spans="1:2" x14ac:dyDescent="0.35">
      <c r="A106" s="2">
        <v>103</v>
      </c>
      <c r="B106" s="7">
        <v>4.82</v>
      </c>
    </row>
    <row r="107" spans="1:2" x14ac:dyDescent="0.35">
      <c r="A107" s="2">
        <v>104</v>
      </c>
      <c r="B107" s="7">
        <v>4.8600000000000003</v>
      </c>
    </row>
    <row r="108" spans="1:2" x14ac:dyDescent="0.35">
      <c r="A108" s="2">
        <v>105</v>
      </c>
      <c r="B108" s="7">
        <v>3.33</v>
      </c>
    </row>
    <row r="109" spans="1:2" x14ac:dyDescent="0.35">
      <c r="A109" s="2">
        <v>106</v>
      </c>
      <c r="B109" s="7">
        <v>3</v>
      </c>
    </row>
    <row r="110" spans="1:2" x14ac:dyDescent="0.35">
      <c r="A110" s="2">
        <v>107</v>
      </c>
      <c r="B110" s="7">
        <v>4.97</v>
      </c>
    </row>
    <row r="111" spans="1:2" x14ac:dyDescent="0.35">
      <c r="A111" s="2">
        <v>108</v>
      </c>
      <c r="B111" s="7">
        <v>4.8099999999999996</v>
      </c>
    </row>
    <row r="112" spans="1:2" x14ac:dyDescent="0.35">
      <c r="A112" s="2">
        <v>109</v>
      </c>
      <c r="B112" s="7">
        <v>3.11</v>
      </c>
    </row>
    <row r="113" spans="1:2" x14ac:dyDescent="0.35">
      <c r="A113" s="2">
        <v>110</v>
      </c>
      <c r="B113" s="7">
        <v>4.67</v>
      </c>
    </row>
    <row r="114" spans="1:2" x14ac:dyDescent="0.35">
      <c r="A114" s="2">
        <v>111</v>
      </c>
      <c r="B114" s="7">
        <v>3.92</v>
      </c>
    </row>
    <row r="115" spans="1:2" x14ac:dyDescent="0.35">
      <c r="A115" s="2">
        <v>112</v>
      </c>
      <c r="B115" s="7">
        <v>3.52</v>
      </c>
    </row>
    <row r="116" spans="1:2" x14ac:dyDescent="0.35">
      <c r="A116" s="2">
        <v>113</v>
      </c>
      <c r="B116" s="7">
        <v>4.76</v>
      </c>
    </row>
    <row r="117" spans="1:2" x14ac:dyDescent="0.35">
      <c r="A117" s="2">
        <v>114</v>
      </c>
      <c r="B117" s="7">
        <v>3.39</v>
      </c>
    </row>
    <row r="118" spans="1:2" x14ac:dyDescent="0.35">
      <c r="A118" s="2">
        <v>115</v>
      </c>
      <c r="B118" s="7">
        <v>4.8899999999999997</v>
      </c>
    </row>
    <row r="119" spans="1:2" x14ac:dyDescent="0.35">
      <c r="A119" s="2">
        <v>116</v>
      </c>
      <c r="B119" s="7">
        <v>3.41</v>
      </c>
    </row>
    <row r="120" spans="1:2" x14ac:dyDescent="0.35">
      <c r="A120" s="2">
        <v>117</v>
      </c>
      <c r="B120" s="7">
        <v>4.2300000000000004</v>
      </c>
    </row>
    <row r="121" spans="1:2" x14ac:dyDescent="0.35">
      <c r="A121" s="2">
        <v>118</v>
      </c>
      <c r="B121" s="7">
        <v>3.45</v>
      </c>
    </row>
    <row r="122" spans="1:2" x14ac:dyDescent="0.35">
      <c r="A122" s="2">
        <v>119</v>
      </c>
      <c r="B122" s="7">
        <v>4.09</v>
      </c>
    </row>
    <row r="123" spans="1:2" x14ac:dyDescent="0.35">
      <c r="A123" s="2">
        <v>120</v>
      </c>
      <c r="B123" s="7">
        <v>4.37</v>
      </c>
    </row>
    <row r="124" spans="1:2" x14ac:dyDescent="0.35">
      <c r="A124" s="2">
        <v>121</v>
      </c>
      <c r="B124" s="7">
        <v>3.38</v>
      </c>
    </row>
    <row r="125" spans="1:2" x14ac:dyDescent="0.35">
      <c r="A125" s="2">
        <v>122</v>
      </c>
      <c r="B125" s="7">
        <v>4.04</v>
      </c>
    </row>
    <row r="126" spans="1:2" x14ac:dyDescent="0.35">
      <c r="A126" s="2">
        <v>123</v>
      </c>
      <c r="B126" s="7">
        <v>3.94</v>
      </c>
    </row>
    <row r="127" spans="1:2" x14ac:dyDescent="0.35">
      <c r="A127" s="2">
        <v>124</v>
      </c>
      <c r="B127" s="7">
        <v>3.14</v>
      </c>
    </row>
    <row r="128" spans="1:2" x14ac:dyDescent="0.35">
      <c r="A128" s="2">
        <v>125</v>
      </c>
      <c r="B128" s="7">
        <v>4.6399999999999997</v>
      </c>
    </row>
    <row r="129" spans="1:2" x14ac:dyDescent="0.35">
      <c r="A129" s="2">
        <v>126</v>
      </c>
      <c r="B129" s="7">
        <v>3.67</v>
      </c>
    </row>
    <row r="130" spans="1:2" x14ac:dyDescent="0.35">
      <c r="A130" s="2">
        <v>127</v>
      </c>
      <c r="B130" s="7">
        <v>4.1500000000000004</v>
      </c>
    </row>
    <row r="131" spans="1:2" x14ac:dyDescent="0.35">
      <c r="A131" s="2">
        <v>128</v>
      </c>
      <c r="B131" s="7">
        <v>4.03</v>
      </c>
    </row>
    <row r="132" spans="1:2" x14ac:dyDescent="0.35">
      <c r="A132" s="2">
        <v>129</v>
      </c>
      <c r="B132" s="7">
        <v>4.03</v>
      </c>
    </row>
    <row r="133" spans="1:2" x14ac:dyDescent="0.35">
      <c r="A133" s="2">
        <v>130</v>
      </c>
      <c r="B133" s="7">
        <v>3.21</v>
      </c>
    </row>
    <row r="134" spans="1:2" x14ac:dyDescent="0.35">
      <c r="A134" s="2">
        <v>131</v>
      </c>
      <c r="B134" s="7">
        <v>3.85</v>
      </c>
    </row>
    <row r="135" spans="1:2" x14ac:dyDescent="0.35">
      <c r="A135" s="2">
        <v>132</v>
      </c>
      <c r="B135" s="7">
        <v>3.9</v>
      </c>
    </row>
    <row r="136" spans="1:2" x14ac:dyDescent="0.35">
      <c r="A136" s="2">
        <v>133</v>
      </c>
      <c r="B136" s="7">
        <v>4.47</v>
      </c>
    </row>
    <row r="137" spans="1:2" x14ac:dyDescent="0.35">
      <c r="A137" s="2">
        <v>134</v>
      </c>
      <c r="B137" s="7">
        <v>4.68</v>
      </c>
    </row>
    <row r="138" spans="1:2" x14ac:dyDescent="0.35">
      <c r="A138" s="2">
        <v>135</v>
      </c>
      <c r="B138" s="7">
        <v>4.09</v>
      </c>
    </row>
    <row r="139" spans="1:2" x14ac:dyDescent="0.35">
      <c r="A139" s="2">
        <v>136</v>
      </c>
      <c r="B139" s="7">
        <v>3.17</v>
      </c>
    </row>
    <row r="140" spans="1:2" x14ac:dyDescent="0.35">
      <c r="A140" s="2">
        <v>137</v>
      </c>
      <c r="B140" s="7">
        <v>3.47</v>
      </c>
    </row>
    <row r="141" spans="1:2" x14ac:dyDescent="0.35">
      <c r="A141" s="2">
        <v>138</v>
      </c>
      <c r="B141" s="7">
        <v>3.33</v>
      </c>
    </row>
    <row r="142" spans="1:2" x14ac:dyDescent="0.35">
      <c r="A142" s="2">
        <v>139</v>
      </c>
      <c r="B142" s="7">
        <v>3.25</v>
      </c>
    </row>
    <row r="143" spans="1:2" x14ac:dyDescent="0.35">
      <c r="A143" s="2">
        <v>140</v>
      </c>
      <c r="B143" s="7">
        <v>3.73</v>
      </c>
    </row>
    <row r="144" spans="1:2" x14ac:dyDescent="0.35">
      <c r="A144" s="2">
        <v>141</v>
      </c>
      <c r="B144" s="7">
        <v>3.46</v>
      </c>
    </row>
    <row r="145" spans="1:2" x14ac:dyDescent="0.35">
      <c r="A145" s="2">
        <v>142</v>
      </c>
      <c r="B145" s="7">
        <v>3.44</v>
      </c>
    </row>
    <row r="146" spans="1:2" x14ac:dyDescent="0.35">
      <c r="A146" s="2">
        <v>143</v>
      </c>
      <c r="B146" s="7">
        <v>3.11</v>
      </c>
    </row>
    <row r="147" spans="1:2" x14ac:dyDescent="0.35">
      <c r="A147" s="2">
        <v>144</v>
      </c>
      <c r="B147" s="7">
        <v>3.04</v>
      </c>
    </row>
    <row r="148" spans="1:2" x14ac:dyDescent="0.35">
      <c r="A148" s="2">
        <v>145</v>
      </c>
      <c r="B148" s="7">
        <v>3.21</v>
      </c>
    </row>
    <row r="149" spans="1:2" x14ac:dyDescent="0.35">
      <c r="A149" s="2">
        <v>146</v>
      </c>
      <c r="B149" s="7">
        <v>3.34</v>
      </c>
    </row>
    <row r="150" spans="1:2" x14ac:dyDescent="0.35">
      <c r="A150" s="2">
        <v>147</v>
      </c>
      <c r="B150" s="7">
        <v>3.86</v>
      </c>
    </row>
    <row r="151" spans="1:2" x14ac:dyDescent="0.35">
      <c r="A151" s="2">
        <v>148</v>
      </c>
      <c r="B151" s="7">
        <v>4.0199999999999996</v>
      </c>
    </row>
    <row r="152" spans="1:2" x14ac:dyDescent="0.35">
      <c r="A152" s="2">
        <v>149</v>
      </c>
      <c r="B152" s="7">
        <v>3.28</v>
      </c>
    </row>
    <row r="153" spans="1:2" x14ac:dyDescent="0.35">
      <c r="A153" s="2">
        <v>150</v>
      </c>
      <c r="B153" s="7">
        <v>3.85</v>
      </c>
    </row>
    <row r="154" spans="1:2" x14ac:dyDescent="0.35">
      <c r="A154" s="2">
        <v>151</v>
      </c>
      <c r="B154" s="7">
        <v>3.68</v>
      </c>
    </row>
    <row r="155" spans="1:2" x14ac:dyDescent="0.35">
      <c r="A155" s="2">
        <v>152</v>
      </c>
      <c r="B155" s="7">
        <v>3.37</v>
      </c>
    </row>
    <row r="156" spans="1:2" x14ac:dyDescent="0.35">
      <c r="A156" s="2">
        <v>153</v>
      </c>
      <c r="B156" s="7">
        <v>3.01</v>
      </c>
    </row>
    <row r="157" spans="1:2" x14ac:dyDescent="0.35">
      <c r="A157" s="2">
        <v>154</v>
      </c>
      <c r="B157" s="7">
        <v>3.93</v>
      </c>
    </row>
    <row r="158" spans="1:2" x14ac:dyDescent="0.35">
      <c r="A158" s="2">
        <v>155</v>
      </c>
      <c r="B158" s="7">
        <v>4.37</v>
      </c>
    </row>
    <row r="159" spans="1:2" x14ac:dyDescent="0.35">
      <c r="A159" s="2">
        <v>156</v>
      </c>
      <c r="B159" s="7">
        <v>3.45</v>
      </c>
    </row>
    <row r="160" spans="1:2" x14ac:dyDescent="0.35">
      <c r="A160" s="2">
        <v>157</v>
      </c>
      <c r="B160" s="7">
        <v>3.26</v>
      </c>
    </row>
    <row r="161" spans="1:2" x14ac:dyDescent="0.35">
      <c r="A161" s="2">
        <v>158</v>
      </c>
      <c r="B161" s="7">
        <v>4.7699999999999996</v>
      </c>
    </row>
    <row r="162" spans="1:2" x14ac:dyDescent="0.35">
      <c r="A162" s="2">
        <v>159</v>
      </c>
      <c r="B162" s="7">
        <v>3.55</v>
      </c>
    </row>
    <row r="163" spans="1:2" x14ac:dyDescent="0.35">
      <c r="A163" s="2">
        <v>160</v>
      </c>
      <c r="B163" s="7">
        <v>3.45</v>
      </c>
    </row>
    <row r="164" spans="1:2" x14ac:dyDescent="0.35">
      <c r="A164" s="2">
        <v>161</v>
      </c>
      <c r="B164" s="7">
        <v>4.71</v>
      </c>
    </row>
    <row r="165" spans="1:2" x14ac:dyDescent="0.35">
      <c r="A165" s="2">
        <v>162</v>
      </c>
      <c r="B165" s="7">
        <v>4.63</v>
      </c>
    </row>
    <row r="166" spans="1:2" x14ac:dyDescent="0.35">
      <c r="A166" s="2">
        <v>163</v>
      </c>
      <c r="B166" s="7">
        <v>3.9</v>
      </c>
    </row>
    <row r="167" spans="1:2" x14ac:dyDescent="0.35">
      <c r="A167" s="2">
        <v>164</v>
      </c>
      <c r="B167" s="7">
        <v>3.98</v>
      </c>
    </row>
    <row r="168" spans="1:2" x14ac:dyDescent="0.35">
      <c r="A168" s="2">
        <v>165</v>
      </c>
      <c r="B168" s="7">
        <v>3.44</v>
      </c>
    </row>
    <row r="169" spans="1:2" x14ac:dyDescent="0.35">
      <c r="A169" s="2">
        <v>166</v>
      </c>
      <c r="B169" s="7">
        <v>3.16</v>
      </c>
    </row>
    <row r="170" spans="1:2" x14ac:dyDescent="0.35">
      <c r="A170" s="2">
        <v>167</v>
      </c>
      <c r="B170" s="7">
        <v>4.1500000000000004</v>
      </c>
    </row>
    <row r="171" spans="1:2" x14ac:dyDescent="0.35">
      <c r="A171" s="2">
        <v>168</v>
      </c>
      <c r="B171" s="7">
        <v>3.2</v>
      </c>
    </row>
    <row r="172" spans="1:2" x14ac:dyDescent="0.35">
      <c r="A172" s="2">
        <v>169</v>
      </c>
      <c r="B172" s="7">
        <v>3.9</v>
      </c>
    </row>
    <row r="173" spans="1:2" x14ac:dyDescent="0.35">
      <c r="A173" s="2">
        <v>170</v>
      </c>
      <c r="B173" s="7">
        <v>4.88</v>
      </c>
    </row>
    <row r="174" spans="1:2" x14ac:dyDescent="0.35">
      <c r="A174" s="2">
        <v>171</v>
      </c>
      <c r="B174" s="7">
        <v>4.91</v>
      </c>
    </row>
    <row r="175" spans="1:2" x14ac:dyDescent="0.35">
      <c r="A175" s="2">
        <v>172</v>
      </c>
      <c r="B175" s="7">
        <v>3.48</v>
      </c>
    </row>
    <row r="176" spans="1:2" x14ac:dyDescent="0.35">
      <c r="A176" s="2">
        <v>173</v>
      </c>
      <c r="B176" s="7">
        <v>4.25</v>
      </c>
    </row>
    <row r="177" spans="1:2" x14ac:dyDescent="0.35">
      <c r="A177" s="2">
        <v>174</v>
      </c>
      <c r="B177" s="7">
        <v>3.95</v>
      </c>
    </row>
    <row r="178" spans="1:2" x14ac:dyDescent="0.35">
      <c r="A178" s="2">
        <v>175</v>
      </c>
      <c r="B178" s="7">
        <v>4.75</v>
      </c>
    </row>
    <row r="179" spans="1:2" x14ac:dyDescent="0.35">
      <c r="A179" s="2">
        <v>176</v>
      </c>
      <c r="B179" s="7">
        <v>3.54</v>
      </c>
    </row>
    <row r="180" spans="1:2" x14ac:dyDescent="0.35">
      <c r="A180" s="2">
        <v>177</v>
      </c>
      <c r="B180" s="7">
        <v>3.01</v>
      </c>
    </row>
    <row r="181" spans="1:2" x14ac:dyDescent="0.35">
      <c r="A181" s="2">
        <v>178</v>
      </c>
      <c r="B181" s="7">
        <v>3.33</v>
      </c>
    </row>
    <row r="182" spans="1:2" x14ac:dyDescent="0.35">
      <c r="A182" s="2">
        <v>179</v>
      </c>
      <c r="B182" s="7">
        <v>3.7</v>
      </c>
    </row>
    <row r="183" spans="1:2" x14ac:dyDescent="0.35">
      <c r="A183" s="2">
        <v>180</v>
      </c>
      <c r="B183" s="7">
        <v>3.63</v>
      </c>
    </row>
    <row r="184" spans="1:2" x14ac:dyDescent="0.35">
      <c r="A184" s="2">
        <v>181</v>
      </c>
      <c r="B184" s="7">
        <v>4.58</v>
      </c>
    </row>
    <row r="185" spans="1:2" x14ac:dyDescent="0.35">
      <c r="A185" s="2">
        <v>182</v>
      </c>
      <c r="B185" s="7">
        <v>4.3600000000000003</v>
      </c>
    </row>
    <row r="186" spans="1:2" x14ac:dyDescent="0.35">
      <c r="A186" s="2">
        <v>183</v>
      </c>
      <c r="B186" s="7">
        <v>3.6</v>
      </c>
    </row>
    <row r="187" spans="1:2" x14ac:dyDescent="0.35">
      <c r="A187" s="2">
        <v>184</v>
      </c>
      <c r="B187" s="7">
        <v>3.92</v>
      </c>
    </row>
    <row r="188" spans="1:2" x14ac:dyDescent="0.35">
      <c r="A188" s="2">
        <v>185</v>
      </c>
      <c r="B188" s="7">
        <v>3.19</v>
      </c>
    </row>
    <row r="189" spans="1:2" x14ac:dyDescent="0.35">
      <c r="A189" s="2">
        <v>186</v>
      </c>
      <c r="B189" s="7">
        <v>4.8</v>
      </c>
    </row>
    <row r="190" spans="1:2" x14ac:dyDescent="0.35">
      <c r="A190" s="2">
        <v>187</v>
      </c>
      <c r="B190" s="7">
        <v>4.87</v>
      </c>
    </row>
    <row r="191" spans="1:2" x14ac:dyDescent="0.35">
      <c r="A191" s="2">
        <v>188</v>
      </c>
      <c r="B191" s="7">
        <v>4.96</v>
      </c>
    </row>
    <row r="192" spans="1:2" x14ac:dyDescent="0.35">
      <c r="A192" s="2">
        <v>189</v>
      </c>
      <c r="B192" s="7">
        <v>4.74</v>
      </c>
    </row>
    <row r="193" spans="1:2" x14ac:dyDescent="0.35">
      <c r="A193" s="2">
        <v>190</v>
      </c>
      <c r="B193" s="7">
        <v>3.35</v>
      </c>
    </row>
    <row r="194" spans="1:2" x14ac:dyDescent="0.35">
      <c r="A194" s="2">
        <v>191</v>
      </c>
      <c r="B194" s="7">
        <v>3.09</v>
      </c>
    </row>
    <row r="195" spans="1:2" x14ac:dyDescent="0.35">
      <c r="A195" s="2">
        <v>192</v>
      </c>
      <c r="B195" s="7">
        <v>4.16</v>
      </c>
    </row>
    <row r="196" spans="1:2" x14ac:dyDescent="0.35">
      <c r="A196" s="2">
        <v>193</v>
      </c>
      <c r="B196" s="7">
        <v>4.83</v>
      </c>
    </row>
    <row r="197" spans="1:2" x14ac:dyDescent="0.35">
      <c r="A197" s="2">
        <v>194</v>
      </c>
      <c r="B197" s="7">
        <v>3.35</v>
      </c>
    </row>
    <row r="198" spans="1:2" x14ac:dyDescent="0.35">
      <c r="A198" s="2">
        <v>195</v>
      </c>
      <c r="B198" s="7">
        <v>3.01</v>
      </c>
    </row>
    <row r="199" spans="1:2" x14ac:dyDescent="0.35">
      <c r="A199" s="2">
        <v>196</v>
      </c>
      <c r="B199" s="7">
        <v>4.6100000000000003</v>
      </c>
    </row>
    <row r="200" spans="1:2" x14ac:dyDescent="0.35">
      <c r="A200" s="2">
        <v>197</v>
      </c>
      <c r="B200" s="7">
        <v>3.15</v>
      </c>
    </row>
    <row r="201" spans="1:2" x14ac:dyDescent="0.35">
      <c r="A201" s="2">
        <v>198</v>
      </c>
      <c r="B201" s="7">
        <v>3.83</v>
      </c>
    </row>
    <row r="202" spans="1:2" x14ac:dyDescent="0.35">
      <c r="A202" s="2">
        <v>199</v>
      </c>
      <c r="B202" s="7">
        <v>4.3600000000000003</v>
      </c>
    </row>
    <row r="203" spans="1:2" x14ac:dyDescent="0.35">
      <c r="A203" s="2">
        <v>200</v>
      </c>
      <c r="B203" s="7">
        <v>3.47</v>
      </c>
    </row>
    <row r="204" spans="1:2" x14ac:dyDescent="0.35">
      <c r="A204" s="2">
        <v>201</v>
      </c>
      <c r="B204" s="7">
        <v>3.17</v>
      </c>
    </row>
    <row r="205" spans="1:2" x14ac:dyDescent="0.35">
      <c r="A205" s="2">
        <v>202</v>
      </c>
      <c r="B205" s="7">
        <v>4.54</v>
      </c>
    </row>
    <row r="206" spans="1:2" x14ac:dyDescent="0.35">
      <c r="A206" s="2">
        <v>203</v>
      </c>
      <c r="B206" s="7">
        <v>4.26</v>
      </c>
    </row>
    <row r="207" spans="1:2" x14ac:dyDescent="0.35">
      <c r="A207" s="2">
        <v>204</v>
      </c>
      <c r="B207" s="7">
        <v>4.9800000000000004</v>
      </c>
    </row>
    <row r="208" spans="1:2" x14ac:dyDescent="0.35">
      <c r="A208" s="2">
        <v>205</v>
      </c>
      <c r="B208" s="7">
        <v>3.69</v>
      </c>
    </row>
    <row r="209" spans="1:2" x14ac:dyDescent="0.35">
      <c r="A209" s="2">
        <v>206</v>
      </c>
      <c r="B209" s="7">
        <v>3.12</v>
      </c>
    </row>
    <row r="210" spans="1:2" x14ac:dyDescent="0.35">
      <c r="A210" s="2">
        <v>207</v>
      </c>
      <c r="B210" s="7">
        <v>4.47</v>
      </c>
    </row>
    <row r="211" spans="1:2" x14ac:dyDescent="0.35">
      <c r="A211" s="2">
        <v>208</v>
      </c>
      <c r="B211" s="7">
        <v>4.04</v>
      </c>
    </row>
    <row r="212" spans="1:2" x14ac:dyDescent="0.35">
      <c r="A212" s="2">
        <v>209</v>
      </c>
      <c r="B212" s="7">
        <v>3.43</v>
      </c>
    </row>
    <row r="213" spans="1:2" x14ac:dyDescent="0.35">
      <c r="A213" s="2">
        <v>210</v>
      </c>
      <c r="B213" s="7">
        <v>4.5599999999999996</v>
      </c>
    </row>
    <row r="214" spans="1:2" x14ac:dyDescent="0.35">
      <c r="A214" s="2">
        <v>211</v>
      </c>
      <c r="B214" s="7">
        <v>3.41</v>
      </c>
    </row>
    <row r="215" spans="1:2" x14ac:dyDescent="0.35">
      <c r="A215" s="2">
        <v>212</v>
      </c>
      <c r="B215" s="7">
        <v>3.52</v>
      </c>
    </row>
    <row r="216" spans="1:2" x14ac:dyDescent="0.35">
      <c r="A216" s="2">
        <v>213</v>
      </c>
      <c r="B216" s="7">
        <v>3.19</v>
      </c>
    </row>
    <row r="217" spans="1:2" x14ac:dyDescent="0.35">
      <c r="A217" s="2">
        <v>214</v>
      </c>
      <c r="B217" s="7">
        <v>3.8</v>
      </c>
    </row>
    <row r="218" spans="1:2" x14ac:dyDescent="0.35">
      <c r="A218" s="2">
        <v>215</v>
      </c>
      <c r="B218" s="7">
        <v>3.84</v>
      </c>
    </row>
    <row r="219" spans="1:2" x14ac:dyDescent="0.35">
      <c r="A219" s="2">
        <v>216</v>
      </c>
      <c r="B219" s="7">
        <v>4.03</v>
      </c>
    </row>
    <row r="220" spans="1:2" x14ac:dyDescent="0.35">
      <c r="A220" s="2">
        <v>217</v>
      </c>
      <c r="B220" s="7">
        <v>4.42</v>
      </c>
    </row>
    <row r="221" spans="1:2" x14ac:dyDescent="0.35">
      <c r="A221" s="2">
        <v>218</v>
      </c>
      <c r="B221" s="7">
        <v>4.8099999999999996</v>
      </c>
    </row>
    <row r="222" spans="1:2" x14ac:dyDescent="0.35">
      <c r="A222" s="2">
        <v>219</v>
      </c>
      <c r="B222" s="7">
        <v>3.28</v>
      </c>
    </row>
    <row r="223" spans="1:2" x14ac:dyDescent="0.35">
      <c r="A223" s="2">
        <v>220</v>
      </c>
      <c r="B223" s="7">
        <v>3.11</v>
      </c>
    </row>
    <row r="224" spans="1:2" x14ac:dyDescent="0.35">
      <c r="A224" s="2">
        <v>221</v>
      </c>
      <c r="B224" s="7">
        <v>3.04</v>
      </c>
    </row>
    <row r="225" spans="1:2" x14ac:dyDescent="0.35">
      <c r="A225" s="2">
        <v>222</v>
      </c>
      <c r="B225" s="7">
        <v>3.29</v>
      </c>
    </row>
    <row r="226" spans="1:2" x14ac:dyDescent="0.35">
      <c r="A226" s="2">
        <v>223</v>
      </c>
      <c r="B226" s="7">
        <v>4.32</v>
      </c>
    </row>
    <row r="227" spans="1:2" x14ac:dyDescent="0.35">
      <c r="A227" s="2">
        <v>224</v>
      </c>
      <c r="B227" s="7">
        <v>4.45</v>
      </c>
    </row>
    <row r="228" spans="1:2" x14ac:dyDescent="0.35">
      <c r="A228" s="2">
        <v>225</v>
      </c>
      <c r="B228" s="7">
        <v>4.57</v>
      </c>
    </row>
    <row r="229" spans="1:2" x14ac:dyDescent="0.35">
      <c r="A229" s="2">
        <v>226</v>
      </c>
      <c r="B229" s="7">
        <v>3.49</v>
      </c>
    </row>
    <row r="230" spans="1:2" x14ac:dyDescent="0.35">
      <c r="A230" s="2">
        <v>227</v>
      </c>
      <c r="B230" s="7">
        <v>3.61</v>
      </c>
    </row>
    <row r="231" spans="1:2" x14ac:dyDescent="0.35">
      <c r="A231" s="2">
        <v>228</v>
      </c>
      <c r="B231" s="7">
        <v>3.97</v>
      </c>
    </row>
    <row r="232" spans="1:2" x14ac:dyDescent="0.35">
      <c r="A232" s="2">
        <v>229</v>
      </c>
      <c r="B232" s="7">
        <v>3.13</v>
      </c>
    </row>
    <row r="233" spans="1:2" x14ac:dyDescent="0.35">
      <c r="A233" s="2">
        <v>230</v>
      </c>
      <c r="B233" s="7">
        <v>4.22</v>
      </c>
    </row>
    <row r="234" spans="1:2" x14ac:dyDescent="0.35">
      <c r="A234" s="2">
        <v>231</v>
      </c>
      <c r="B234" s="7">
        <v>4.97</v>
      </c>
    </row>
    <row r="235" spans="1:2" x14ac:dyDescent="0.35">
      <c r="A235" s="2">
        <v>232</v>
      </c>
      <c r="B235" s="7">
        <v>3.72</v>
      </c>
    </row>
    <row r="236" spans="1:2" x14ac:dyDescent="0.35">
      <c r="A236" s="2">
        <v>233</v>
      </c>
      <c r="B236" s="7">
        <v>4.51</v>
      </c>
    </row>
    <row r="237" spans="1:2" x14ac:dyDescent="0.35">
      <c r="A237" s="2">
        <v>234</v>
      </c>
      <c r="B237" s="7">
        <v>4</v>
      </c>
    </row>
    <row r="238" spans="1:2" x14ac:dyDescent="0.35">
      <c r="A238" s="2">
        <v>235</v>
      </c>
      <c r="B238" s="7">
        <v>3.26</v>
      </c>
    </row>
    <row r="239" spans="1:2" x14ac:dyDescent="0.35">
      <c r="A239" s="2">
        <v>236</v>
      </c>
      <c r="B239" s="7">
        <v>4.16</v>
      </c>
    </row>
    <row r="240" spans="1:2" x14ac:dyDescent="0.35">
      <c r="A240" s="2">
        <v>237</v>
      </c>
      <c r="B240" s="7">
        <v>3.6</v>
      </c>
    </row>
    <row r="241" spans="1:2" x14ac:dyDescent="0.35">
      <c r="A241" s="2">
        <v>238</v>
      </c>
      <c r="B241" s="7">
        <v>3.07</v>
      </c>
    </row>
    <row r="242" spans="1:2" x14ac:dyDescent="0.35">
      <c r="A242" s="2">
        <v>239</v>
      </c>
      <c r="B242" s="7">
        <v>4.2699999999999996</v>
      </c>
    </row>
    <row r="243" spans="1:2" x14ac:dyDescent="0.35">
      <c r="A243" s="2">
        <v>240</v>
      </c>
      <c r="B243" s="7">
        <v>4.72</v>
      </c>
    </row>
    <row r="244" spans="1:2" x14ac:dyDescent="0.35">
      <c r="A244" s="2">
        <v>241</v>
      </c>
      <c r="B244" s="7">
        <v>3.69</v>
      </c>
    </row>
    <row r="245" spans="1:2" x14ac:dyDescent="0.35">
      <c r="A245" s="2">
        <v>242</v>
      </c>
      <c r="B245" s="7">
        <v>3.78</v>
      </c>
    </row>
    <row r="246" spans="1:2" x14ac:dyDescent="0.35">
      <c r="A246" s="2">
        <v>243</v>
      </c>
      <c r="B246" s="7">
        <v>4.78</v>
      </c>
    </row>
    <row r="247" spans="1:2" x14ac:dyDescent="0.35">
      <c r="A247" s="2">
        <v>244</v>
      </c>
      <c r="B247" s="7">
        <v>4.63</v>
      </c>
    </row>
    <row r="248" spans="1:2" x14ac:dyDescent="0.35">
      <c r="A248" s="2">
        <v>245</v>
      </c>
      <c r="B248" s="7">
        <v>4.43</v>
      </c>
    </row>
    <row r="249" spans="1:2" x14ac:dyDescent="0.35">
      <c r="A249" s="2">
        <v>246</v>
      </c>
      <c r="B249" s="7">
        <v>3.5</v>
      </c>
    </row>
    <row r="250" spans="1:2" x14ac:dyDescent="0.35">
      <c r="A250" s="2">
        <v>247</v>
      </c>
      <c r="B250" s="7">
        <v>4.82</v>
      </c>
    </row>
    <row r="251" spans="1:2" x14ac:dyDescent="0.35">
      <c r="A251" s="2">
        <v>248</v>
      </c>
      <c r="B251" s="7">
        <v>3.31</v>
      </c>
    </row>
    <row r="252" spans="1:2" x14ac:dyDescent="0.35">
      <c r="A252" s="2">
        <v>249</v>
      </c>
      <c r="B252" s="7">
        <v>4.25</v>
      </c>
    </row>
    <row r="253" spans="1:2" x14ac:dyDescent="0.35">
      <c r="A253" s="2">
        <v>250</v>
      </c>
      <c r="B253" s="7">
        <v>3.06</v>
      </c>
    </row>
    <row r="254" spans="1:2" x14ac:dyDescent="0.35">
      <c r="A254" s="2">
        <v>251</v>
      </c>
      <c r="B254" s="7">
        <v>4.29</v>
      </c>
    </row>
    <row r="255" spans="1:2" x14ac:dyDescent="0.35">
      <c r="A255" s="2">
        <v>252</v>
      </c>
      <c r="B255" s="7">
        <v>3.55</v>
      </c>
    </row>
    <row r="256" spans="1:2" x14ac:dyDescent="0.35">
      <c r="A256" s="2">
        <v>253</v>
      </c>
      <c r="B256" s="7">
        <v>3.9</v>
      </c>
    </row>
    <row r="257" spans="1:2" x14ac:dyDescent="0.35">
      <c r="A257" s="2">
        <v>254</v>
      </c>
      <c r="B257" s="7">
        <v>3.69</v>
      </c>
    </row>
    <row r="258" spans="1:2" x14ac:dyDescent="0.35">
      <c r="A258" s="2">
        <v>255</v>
      </c>
      <c r="B258" s="7">
        <v>3.35</v>
      </c>
    </row>
    <row r="259" spans="1:2" x14ac:dyDescent="0.35">
      <c r="A259" s="2">
        <v>256</v>
      </c>
      <c r="B259" s="7">
        <v>4.24</v>
      </c>
    </row>
    <row r="260" spans="1:2" x14ac:dyDescent="0.35">
      <c r="A260" s="2">
        <v>257</v>
      </c>
      <c r="B260" s="7">
        <v>4.76</v>
      </c>
    </row>
    <row r="261" spans="1:2" x14ac:dyDescent="0.35">
      <c r="A261" s="2">
        <v>258</v>
      </c>
      <c r="B261" s="7">
        <v>4.92</v>
      </c>
    </row>
    <row r="262" spans="1:2" x14ac:dyDescent="0.35">
      <c r="A262" s="2">
        <v>259</v>
      </c>
      <c r="B262" s="7">
        <v>3.38</v>
      </c>
    </row>
    <row r="263" spans="1:2" x14ac:dyDescent="0.35">
      <c r="A263" s="2">
        <v>260</v>
      </c>
      <c r="B263" s="7">
        <v>4.43</v>
      </c>
    </row>
    <row r="264" spans="1:2" x14ac:dyDescent="0.35">
      <c r="A264" s="2">
        <v>261</v>
      </c>
      <c r="B264" s="7">
        <v>4.33</v>
      </c>
    </row>
    <row r="265" spans="1:2" x14ac:dyDescent="0.35">
      <c r="A265" s="2">
        <v>262</v>
      </c>
      <c r="B265" s="7">
        <v>3.69</v>
      </c>
    </row>
    <row r="266" spans="1:2" x14ac:dyDescent="0.35">
      <c r="A266" s="2">
        <v>263</v>
      </c>
      <c r="B266" s="7">
        <v>3.04</v>
      </c>
    </row>
    <row r="267" spans="1:2" x14ac:dyDescent="0.35">
      <c r="A267" s="2">
        <v>264</v>
      </c>
      <c r="B267" s="7">
        <v>4.38</v>
      </c>
    </row>
    <row r="268" spans="1:2" x14ac:dyDescent="0.35">
      <c r="A268" s="2">
        <v>265</v>
      </c>
      <c r="B268" s="7">
        <v>4.8899999999999997</v>
      </c>
    </row>
    <row r="269" spans="1:2" x14ac:dyDescent="0.35">
      <c r="A269" s="2">
        <v>266</v>
      </c>
      <c r="B269" s="7">
        <v>4.26</v>
      </c>
    </row>
    <row r="270" spans="1:2" x14ac:dyDescent="0.35">
      <c r="A270" s="2">
        <v>267</v>
      </c>
      <c r="B270" s="7">
        <v>3.87</v>
      </c>
    </row>
    <row r="271" spans="1:2" x14ac:dyDescent="0.35">
      <c r="A271" s="2">
        <v>268</v>
      </c>
      <c r="B271" s="7">
        <v>4.05</v>
      </c>
    </row>
    <row r="272" spans="1:2" x14ac:dyDescent="0.35">
      <c r="A272" s="2">
        <v>269</v>
      </c>
      <c r="B272" s="7">
        <v>3.4</v>
      </c>
    </row>
    <row r="273" spans="1:2" x14ac:dyDescent="0.35">
      <c r="A273" s="2">
        <v>270</v>
      </c>
      <c r="B273" s="7">
        <v>4.5</v>
      </c>
    </row>
    <row r="274" spans="1:2" x14ac:dyDescent="0.35">
      <c r="A274" s="2">
        <v>271</v>
      </c>
      <c r="B274" s="7">
        <v>4.49</v>
      </c>
    </row>
    <row r="275" spans="1:2" x14ac:dyDescent="0.35">
      <c r="A275" s="2">
        <v>272</v>
      </c>
      <c r="B275" s="7">
        <v>3.29</v>
      </c>
    </row>
    <row r="276" spans="1:2" x14ac:dyDescent="0.35">
      <c r="A276" s="2">
        <v>273</v>
      </c>
      <c r="B276" s="7">
        <v>4.76</v>
      </c>
    </row>
    <row r="277" spans="1:2" x14ac:dyDescent="0.35">
      <c r="A277" s="2">
        <v>274</v>
      </c>
      <c r="B277" s="7">
        <v>3.54</v>
      </c>
    </row>
    <row r="278" spans="1:2" x14ac:dyDescent="0.35">
      <c r="A278" s="2">
        <v>275</v>
      </c>
      <c r="B278" s="7">
        <v>4.96</v>
      </c>
    </row>
    <row r="279" spans="1:2" x14ac:dyDescent="0.35">
      <c r="A279" s="2">
        <v>276</v>
      </c>
      <c r="B279" s="7">
        <v>3.77</v>
      </c>
    </row>
    <row r="280" spans="1:2" x14ac:dyDescent="0.35">
      <c r="A280" s="2">
        <v>277</v>
      </c>
      <c r="B280" s="7">
        <v>3.36</v>
      </c>
    </row>
    <row r="281" spans="1:2" x14ac:dyDescent="0.35">
      <c r="A281" s="2">
        <v>278</v>
      </c>
      <c r="B281" s="7">
        <v>3.7</v>
      </c>
    </row>
    <row r="282" spans="1:2" x14ac:dyDescent="0.35">
      <c r="A282" s="2">
        <v>279</v>
      </c>
      <c r="B282" s="7">
        <v>3.88</v>
      </c>
    </row>
    <row r="283" spans="1:2" x14ac:dyDescent="0.35">
      <c r="A283" s="2">
        <v>280</v>
      </c>
      <c r="B283" s="7">
        <v>3.14</v>
      </c>
    </row>
    <row r="284" spans="1:2" x14ac:dyDescent="0.35">
      <c r="A284" s="2">
        <v>281</v>
      </c>
      <c r="B284" s="7">
        <v>4.16</v>
      </c>
    </row>
    <row r="285" spans="1:2" x14ac:dyDescent="0.35">
      <c r="A285" s="2">
        <v>282</v>
      </c>
      <c r="B285" s="7">
        <v>4.2</v>
      </c>
    </row>
    <row r="286" spans="1:2" x14ac:dyDescent="0.35">
      <c r="A286" s="2">
        <v>283</v>
      </c>
      <c r="B286" s="7">
        <v>4.4800000000000004</v>
      </c>
    </row>
    <row r="287" spans="1:2" x14ac:dyDescent="0.35">
      <c r="A287" s="2">
        <v>284</v>
      </c>
      <c r="B287" s="7">
        <v>3.06</v>
      </c>
    </row>
    <row r="288" spans="1:2" x14ac:dyDescent="0.35">
      <c r="A288" s="2">
        <v>285</v>
      </c>
      <c r="B288" s="7">
        <v>4.08</v>
      </c>
    </row>
    <row r="289" spans="1:2" x14ac:dyDescent="0.35">
      <c r="A289" s="2">
        <v>286</v>
      </c>
      <c r="B289" s="7">
        <v>3.11</v>
      </c>
    </row>
    <row r="290" spans="1:2" x14ac:dyDescent="0.35">
      <c r="A290" s="2">
        <v>287</v>
      </c>
      <c r="B290" s="7">
        <v>4.4000000000000004</v>
      </c>
    </row>
    <row r="291" spans="1:2" x14ac:dyDescent="0.35">
      <c r="A291" s="2">
        <v>288</v>
      </c>
      <c r="B291" s="7">
        <v>3.11</v>
      </c>
    </row>
    <row r="292" spans="1:2" x14ac:dyDescent="0.35">
      <c r="A292" s="2">
        <v>289</v>
      </c>
      <c r="B292" s="7">
        <v>4.82</v>
      </c>
    </row>
    <row r="293" spans="1:2" x14ac:dyDescent="0.35">
      <c r="A293" s="2">
        <v>290</v>
      </c>
      <c r="B293" s="7">
        <v>4.4000000000000004</v>
      </c>
    </row>
    <row r="294" spans="1:2" x14ac:dyDescent="0.35">
      <c r="A294" s="2">
        <v>291</v>
      </c>
      <c r="B294" s="7">
        <v>4.01</v>
      </c>
    </row>
    <row r="295" spans="1:2" x14ac:dyDescent="0.35">
      <c r="A295" s="2">
        <v>292</v>
      </c>
      <c r="B295" s="7">
        <v>3.88</v>
      </c>
    </row>
    <row r="296" spans="1:2" x14ac:dyDescent="0.35">
      <c r="A296" s="2">
        <v>293</v>
      </c>
      <c r="B296" s="7">
        <v>3.26</v>
      </c>
    </row>
    <row r="297" spans="1:2" x14ac:dyDescent="0.35">
      <c r="A297" s="2">
        <v>294</v>
      </c>
      <c r="B297" s="7">
        <v>3.58</v>
      </c>
    </row>
    <row r="298" spans="1:2" x14ac:dyDescent="0.35">
      <c r="A298" s="2">
        <v>295</v>
      </c>
      <c r="B298" s="7">
        <v>4.74</v>
      </c>
    </row>
    <row r="299" spans="1:2" x14ac:dyDescent="0.35">
      <c r="A299" s="2">
        <v>296</v>
      </c>
      <c r="B299" s="7">
        <v>4.8099999999999996</v>
      </c>
    </row>
    <row r="300" spans="1:2" x14ac:dyDescent="0.35">
      <c r="A300" s="2">
        <v>297</v>
      </c>
      <c r="B300" s="7">
        <v>3</v>
      </c>
    </row>
    <row r="301" spans="1:2" x14ac:dyDescent="0.35">
      <c r="A301" s="2">
        <v>298</v>
      </c>
      <c r="B301" s="7">
        <v>4.1900000000000004</v>
      </c>
    </row>
    <row r="302" spans="1:2" x14ac:dyDescent="0.35">
      <c r="A302" s="2">
        <v>299</v>
      </c>
      <c r="B302" s="7">
        <v>4.4400000000000004</v>
      </c>
    </row>
    <row r="303" spans="1:2" x14ac:dyDescent="0.35">
      <c r="A303" s="2">
        <v>300</v>
      </c>
      <c r="B303" s="7">
        <v>4.24</v>
      </c>
    </row>
    <row r="304" spans="1:2" x14ac:dyDescent="0.35">
      <c r="A304" s="2">
        <v>301</v>
      </c>
      <c r="B304" s="7">
        <v>3.16</v>
      </c>
    </row>
    <row r="305" spans="1:2" x14ac:dyDescent="0.35">
      <c r="A305" s="2">
        <v>302</v>
      </c>
      <c r="B305" s="7">
        <v>3.44</v>
      </c>
    </row>
    <row r="306" spans="1:2" x14ac:dyDescent="0.35">
      <c r="A306" s="2">
        <v>303</v>
      </c>
      <c r="B306" s="7">
        <v>3.5</v>
      </c>
    </row>
    <row r="307" spans="1:2" x14ac:dyDescent="0.35">
      <c r="A307" s="2">
        <v>304</v>
      </c>
      <c r="B307" s="7">
        <v>4.66</v>
      </c>
    </row>
    <row r="308" spans="1:2" x14ac:dyDescent="0.35">
      <c r="A308" s="2">
        <v>305</v>
      </c>
      <c r="B308" s="7">
        <v>3.93</v>
      </c>
    </row>
    <row r="309" spans="1:2" x14ac:dyDescent="0.35">
      <c r="A309" s="2">
        <v>306</v>
      </c>
      <c r="B309" s="7">
        <v>3.97</v>
      </c>
    </row>
    <row r="310" spans="1:2" x14ac:dyDescent="0.35">
      <c r="A310" s="2">
        <v>307</v>
      </c>
      <c r="B310" s="7">
        <v>4.87</v>
      </c>
    </row>
    <row r="311" spans="1:2" x14ac:dyDescent="0.35">
      <c r="A311" s="2">
        <v>308</v>
      </c>
      <c r="B311" s="7">
        <v>4.2699999999999996</v>
      </c>
    </row>
    <row r="312" spans="1:2" x14ac:dyDescent="0.35">
      <c r="A312" s="2">
        <v>309</v>
      </c>
      <c r="B312" s="7">
        <v>4.8</v>
      </c>
    </row>
    <row r="313" spans="1:2" x14ac:dyDescent="0.35">
      <c r="A313" s="2">
        <v>310</v>
      </c>
      <c r="B313" s="7">
        <v>3.91</v>
      </c>
    </row>
    <row r="314" spans="1:2" x14ac:dyDescent="0.35">
      <c r="A314" s="2">
        <v>311</v>
      </c>
      <c r="B314" s="7">
        <v>3.3</v>
      </c>
    </row>
    <row r="315" spans="1:2" x14ac:dyDescent="0.35">
      <c r="A315" s="2">
        <v>312</v>
      </c>
      <c r="B315" s="7">
        <v>4.8600000000000003</v>
      </c>
    </row>
    <row r="316" spans="1:2" x14ac:dyDescent="0.35">
      <c r="A316" s="2">
        <v>313</v>
      </c>
      <c r="B316" s="7">
        <v>3.92</v>
      </c>
    </row>
    <row r="317" spans="1:2" x14ac:dyDescent="0.35">
      <c r="A317" s="2">
        <v>314</v>
      </c>
      <c r="B317" s="7">
        <v>3.36</v>
      </c>
    </row>
    <row r="318" spans="1:2" x14ac:dyDescent="0.35">
      <c r="A318" s="2">
        <v>315</v>
      </c>
      <c r="B318" s="7">
        <v>3.6</v>
      </c>
    </row>
    <row r="319" spans="1:2" x14ac:dyDescent="0.35">
      <c r="A319" s="2">
        <v>316</v>
      </c>
      <c r="B319" s="7">
        <v>3.1</v>
      </c>
    </row>
    <row r="320" spans="1:2" x14ac:dyDescent="0.35">
      <c r="A320" s="2">
        <v>317</v>
      </c>
      <c r="B320" s="7">
        <v>3.94</v>
      </c>
    </row>
    <row r="321" spans="1:2" x14ac:dyDescent="0.35">
      <c r="A321" s="2">
        <v>318</v>
      </c>
      <c r="B321" s="7">
        <v>4.71</v>
      </c>
    </row>
    <row r="322" spans="1:2" x14ac:dyDescent="0.35">
      <c r="A322" s="2">
        <v>319</v>
      </c>
      <c r="B322" s="7">
        <v>4.87</v>
      </c>
    </row>
    <row r="323" spans="1:2" x14ac:dyDescent="0.35">
      <c r="A323" s="2">
        <v>320</v>
      </c>
      <c r="B323" s="7">
        <v>4.87</v>
      </c>
    </row>
    <row r="324" spans="1:2" x14ac:dyDescent="0.35">
      <c r="A324" s="2">
        <v>321</v>
      </c>
      <c r="B324" s="7">
        <v>3.25</v>
      </c>
    </row>
    <row r="325" spans="1:2" x14ac:dyDescent="0.35">
      <c r="A325" s="2">
        <v>322</v>
      </c>
      <c r="B325" s="7">
        <v>3.76</v>
      </c>
    </row>
    <row r="326" spans="1:2" x14ac:dyDescent="0.35">
      <c r="A326" s="2">
        <v>323</v>
      </c>
      <c r="B326" s="7">
        <v>3.06</v>
      </c>
    </row>
    <row r="327" spans="1:2" x14ac:dyDescent="0.35">
      <c r="A327" s="2">
        <v>324</v>
      </c>
      <c r="B327" s="7">
        <v>4.71</v>
      </c>
    </row>
    <row r="328" spans="1:2" x14ac:dyDescent="0.35">
      <c r="A328" s="2">
        <v>325</v>
      </c>
      <c r="B328" s="7">
        <v>3.72</v>
      </c>
    </row>
    <row r="329" spans="1:2" x14ac:dyDescent="0.35">
      <c r="A329" s="2">
        <v>326</v>
      </c>
      <c r="B329" s="7">
        <v>4.26</v>
      </c>
    </row>
    <row r="330" spans="1:2" x14ac:dyDescent="0.35">
      <c r="A330" s="2">
        <v>327</v>
      </c>
      <c r="B330" s="7">
        <v>4.43</v>
      </c>
    </row>
    <row r="331" spans="1:2" x14ac:dyDescent="0.35">
      <c r="A331" s="2">
        <v>328</v>
      </c>
      <c r="B331" s="7">
        <v>3.86</v>
      </c>
    </row>
    <row r="332" spans="1:2" x14ac:dyDescent="0.35">
      <c r="A332" s="2">
        <v>329</v>
      </c>
      <c r="B332" s="7">
        <v>3.61</v>
      </c>
    </row>
    <row r="333" spans="1:2" x14ac:dyDescent="0.35">
      <c r="A333" s="2">
        <v>330</v>
      </c>
      <c r="B333" s="7">
        <v>4.92</v>
      </c>
    </row>
    <row r="334" spans="1:2" x14ac:dyDescent="0.35">
      <c r="A334" s="2">
        <v>331</v>
      </c>
      <c r="B334" s="7">
        <v>4.93</v>
      </c>
    </row>
    <row r="335" spans="1:2" x14ac:dyDescent="0.35">
      <c r="A335" s="2">
        <v>332</v>
      </c>
      <c r="B335" s="7">
        <v>3.58</v>
      </c>
    </row>
    <row r="336" spans="1:2" x14ac:dyDescent="0.35">
      <c r="A336" s="2">
        <v>333</v>
      </c>
      <c r="B336" s="7">
        <v>3.96</v>
      </c>
    </row>
    <row r="337" spans="1:2" x14ac:dyDescent="0.35">
      <c r="A337" s="2">
        <v>334</v>
      </c>
      <c r="B337" s="7">
        <v>4.95</v>
      </c>
    </row>
    <row r="338" spans="1:2" x14ac:dyDescent="0.35">
      <c r="A338" s="2">
        <v>335</v>
      </c>
      <c r="B338" s="7">
        <v>3.01</v>
      </c>
    </row>
    <row r="339" spans="1:2" x14ac:dyDescent="0.35">
      <c r="A339" s="2">
        <v>336</v>
      </c>
      <c r="B339" s="7">
        <v>3.83</v>
      </c>
    </row>
    <row r="340" spans="1:2" x14ac:dyDescent="0.35">
      <c r="A340" s="2">
        <v>337</v>
      </c>
      <c r="B340" s="7">
        <v>3.2</v>
      </c>
    </row>
    <row r="341" spans="1:2" x14ac:dyDescent="0.35">
      <c r="A341" s="2">
        <v>338</v>
      </c>
      <c r="B341" s="7">
        <v>4.0199999999999996</v>
      </c>
    </row>
    <row r="342" spans="1:2" x14ac:dyDescent="0.35">
      <c r="A342" s="2">
        <v>339</v>
      </c>
      <c r="B342" s="7">
        <v>3.05</v>
      </c>
    </row>
    <row r="343" spans="1:2" x14ac:dyDescent="0.35">
      <c r="A343" s="2">
        <v>340</v>
      </c>
      <c r="B343" s="7">
        <v>3.81</v>
      </c>
    </row>
    <row r="344" spans="1:2" x14ac:dyDescent="0.35">
      <c r="A344" s="2">
        <v>341</v>
      </c>
      <c r="B344" s="7">
        <v>3.44</v>
      </c>
    </row>
    <row r="345" spans="1:2" x14ac:dyDescent="0.35">
      <c r="A345" s="2">
        <v>342</v>
      </c>
      <c r="B345" s="7">
        <v>4.07</v>
      </c>
    </row>
    <row r="346" spans="1:2" x14ac:dyDescent="0.35">
      <c r="A346" s="2">
        <v>343</v>
      </c>
      <c r="B346" s="7">
        <v>4.99</v>
      </c>
    </row>
    <row r="347" spans="1:2" x14ac:dyDescent="0.35">
      <c r="A347" s="2">
        <v>344</v>
      </c>
      <c r="B347" s="7">
        <v>4.5999999999999996</v>
      </c>
    </row>
    <row r="348" spans="1:2" x14ac:dyDescent="0.35">
      <c r="A348" s="2">
        <v>345</v>
      </c>
      <c r="B348" s="7">
        <v>4.6900000000000004</v>
      </c>
    </row>
    <row r="349" spans="1:2" x14ac:dyDescent="0.35">
      <c r="A349" s="2">
        <v>346</v>
      </c>
      <c r="B349" s="7">
        <v>4.2699999999999996</v>
      </c>
    </row>
    <row r="350" spans="1:2" x14ac:dyDescent="0.35">
      <c r="A350" s="2">
        <v>347</v>
      </c>
      <c r="B350" s="7">
        <v>3.08</v>
      </c>
    </row>
    <row r="351" spans="1:2" x14ac:dyDescent="0.35">
      <c r="A351" s="2">
        <v>348</v>
      </c>
      <c r="B351" s="7">
        <v>3.41</v>
      </c>
    </row>
    <row r="352" spans="1:2" x14ac:dyDescent="0.35">
      <c r="A352" s="2">
        <v>349</v>
      </c>
      <c r="B352" s="7">
        <v>4.8499999999999996</v>
      </c>
    </row>
    <row r="353" spans="1:2" x14ac:dyDescent="0.35">
      <c r="A353" s="2">
        <v>350</v>
      </c>
      <c r="B353" s="7">
        <v>3.73</v>
      </c>
    </row>
    <row r="354" spans="1:2" x14ac:dyDescent="0.35">
      <c r="A354" s="2">
        <v>351</v>
      </c>
      <c r="B354" s="7">
        <v>3.21</v>
      </c>
    </row>
    <row r="355" spans="1:2" x14ac:dyDescent="0.35">
      <c r="A355" s="2">
        <v>352</v>
      </c>
      <c r="B355" s="7">
        <v>4.4000000000000004</v>
      </c>
    </row>
    <row r="356" spans="1:2" x14ac:dyDescent="0.35">
      <c r="A356" s="2">
        <v>353</v>
      </c>
      <c r="B356" s="7">
        <v>3.6</v>
      </c>
    </row>
    <row r="357" spans="1:2" x14ac:dyDescent="0.35">
      <c r="A357" s="2">
        <v>354</v>
      </c>
      <c r="B357" s="7">
        <v>3.54</v>
      </c>
    </row>
    <row r="358" spans="1:2" x14ac:dyDescent="0.35">
      <c r="A358" s="2">
        <v>355</v>
      </c>
      <c r="B358" s="7">
        <v>5</v>
      </c>
    </row>
    <row r="359" spans="1:2" x14ac:dyDescent="0.35">
      <c r="A359" s="2">
        <v>356</v>
      </c>
      <c r="B359" s="7">
        <v>4.72</v>
      </c>
    </row>
    <row r="360" spans="1:2" x14ac:dyDescent="0.35">
      <c r="A360" s="2">
        <v>357</v>
      </c>
      <c r="B360" s="7">
        <v>3.82</v>
      </c>
    </row>
    <row r="361" spans="1:2" x14ac:dyDescent="0.35">
      <c r="A361" s="2">
        <v>358</v>
      </c>
      <c r="B361" s="7">
        <v>4.96</v>
      </c>
    </row>
    <row r="362" spans="1:2" x14ac:dyDescent="0.35">
      <c r="A362" s="2">
        <v>359</v>
      </c>
      <c r="B362" s="7">
        <v>4.3</v>
      </c>
    </row>
    <row r="363" spans="1:2" x14ac:dyDescent="0.35">
      <c r="A363" s="2">
        <v>360</v>
      </c>
      <c r="B363" s="7">
        <v>4.4800000000000004</v>
      </c>
    </row>
    <row r="364" spans="1:2" x14ac:dyDescent="0.35">
      <c r="A364" s="2">
        <v>361</v>
      </c>
      <c r="B364" s="7">
        <v>3.06</v>
      </c>
    </row>
    <row r="365" spans="1:2" x14ac:dyDescent="0.35">
      <c r="A365" s="2">
        <v>362</v>
      </c>
      <c r="B365" s="7">
        <v>3.24</v>
      </c>
    </row>
    <row r="366" spans="1:2" x14ac:dyDescent="0.35">
      <c r="A366" s="2">
        <v>363</v>
      </c>
      <c r="B366" s="7">
        <v>4.2699999999999996</v>
      </c>
    </row>
    <row r="367" spans="1:2" x14ac:dyDescent="0.35">
      <c r="A367" s="2">
        <v>364</v>
      </c>
      <c r="B367" s="7">
        <v>4.8</v>
      </c>
    </row>
    <row r="368" spans="1:2" x14ac:dyDescent="0.35">
      <c r="A368" s="2">
        <v>365</v>
      </c>
      <c r="B368" s="7">
        <v>4.25</v>
      </c>
    </row>
    <row r="369" spans="1:2" x14ac:dyDescent="0.35">
      <c r="A369" s="2">
        <v>366</v>
      </c>
      <c r="B369" s="7">
        <v>3.27</v>
      </c>
    </row>
    <row r="370" spans="1:2" x14ac:dyDescent="0.35">
      <c r="A370" s="2">
        <v>367</v>
      </c>
      <c r="B370" s="7">
        <v>3.23</v>
      </c>
    </row>
    <row r="371" spans="1:2" x14ac:dyDescent="0.35">
      <c r="A371" s="2">
        <v>368</v>
      </c>
      <c r="B371" s="7">
        <v>4.6900000000000004</v>
      </c>
    </row>
    <row r="372" spans="1:2" x14ac:dyDescent="0.35">
      <c r="A372" s="2">
        <v>369</v>
      </c>
      <c r="B372" s="7">
        <v>3.28</v>
      </c>
    </row>
    <row r="373" spans="1:2" x14ac:dyDescent="0.35">
      <c r="A373" s="2">
        <v>370</v>
      </c>
      <c r="B373" s="7">
        <v>4.04</v>
      </c>
    </row>
    <row r="374" spans="1:2" x14ac:dyDescent="0.35">
      <c r="A374" s="2">
        <v>371</v>
      </c>
      <c r="B374" s="7">
        <v>3.07</v>
      </c>
    </row>
    <row r="375" spans="1:2" x14ac:dyDescent="0.35">
      <c r="A375" s="2">
        <v>372</v>
      </c>
      <c r="B375" s="7">
        <v>3.16</v>
      </c>
    </row>
    <row r="376" spans="1:2" x14ac:dyDescent="0.35">
      <c r="A376" s="2">
        <v>373</v>
      </c>
      <c r="B376" s="7">
        <v>4.34</v>
      </c>
    </row>
    <row r="377" spans="1:2" x14ac:dyDescent="0.35">
      <c r="A377" s="2">
        <v>374</v>
      </c>
      <c r="B377" s="7">
        <v>4.38</v>
      </c>
    </row>
    <row r="378" spans="1:2" x14ac:dyDescent="0.35">
      <c r="A378" s="2">
        <v>375</v>
      </c>
      <c r="B378" s="7">
        <v>3.68</v>
      </c>
    </row>
    <row r="379" spans="1:2" x14ac:dyDescent="0.35">
      <c r="A379" s="2">
        <v>376</v>
      </c>
      <c r="B379" s="7">
        <v>3.43</v>
      </c>
    </row>
    <row r="380" spans="1:2" x14ac:dyDescent="0.35">
      <c r="A380" s="2">
        <v>377</v>
      </c>
      <c r="B380" s="7">
        <v>4.63</v>
      </c>
    </row>
    <row r="381" spans="1:2" x14ac:dyDescent="0.35">
      <c r="A381" s="2">
        <v>378</v>
      </c>
      <c r="B381" s="7">
        <v>3.43</v>
      </c>
    </row>
    <row r="382" spans="1:2" x14ac:dyDescent="0.35">
      <c r="A382" s="2">
        <v>379</v>
      </c>
      <c r="B382" s="7">
        <v>4.08</v>
      </c>
    </row>
    <row r="383" spans="1:2" x14ac:dyDescent="0.35">
      <c r="A383" s="2">
        <v>380</v>
      </c>
      <c r="B383" s="7">
        <v>4.9400000000000004</v>
      </c>
    </row>
    <row r="384" spans="1:2" x14ac:dyDescent="0.35">
      <c r="A384" s="2">
        <v>381</v>
      </c>
      <c r="B384" s="7">
        <v>3.3</v>
      </c>
    </row>
    <row r="385" spans="1:2" x14ac:dyDescent="0.35">
      <c r="A385" s="2">
        <v>382</v>
      </c>
      <c r="B385" s="7">
        <v>4.88</v>
      </c>
    </row>
    <row r="386" spans="1:2" x14ac:dyDescent="0.35">
      <c r="A386" s="2">
        <v>383</v>
      </c>
      <c r="B386" s="7">
        <v>3.37</v>
      </c>
    </row>
    <row r="387" spans="1:2" x14ac:dyDescent="0.35">
      <c r="A387" s="2">
        <v>384</v>
      </c>
      <c r="B387" s="7">
        <v>4.13</v>
      </c>
    </row>
    <row r="388" spans="1:2" x14ac:dyDescent="0.35">
      <c r="A388" s="2">
        <v>385</v>
      </c>
      <c r="B388" s="7">
        <v>3.75</v>
      </c>
    </row>
    <row r="389" spans="1:2" x14ac:dyDescent="0.35">
      <c r="A389" s="2">
        <v>386</v>
      </c>
      <c r="B389" s="7">
        <v>4.93</v>
      </c>
    </row>
    <row r="390" spans="1:2" x14ac:dyDescent="0.35">
      <c r="A390" s="2">
        <v>387</v>
      </c>
      <c r="B390" s="7">
        <v>3.55</v>
      </c>
    </row>
    <row r="391" spans="1:2" x14ac:dyDescent="0.35">
      <c r="A391" s="2">
        <v>388</v>
      </c>
      <c r="B391" s="7">
        <v>3.8</v>
      </c>
    </row>
    <row r="392" spans="1:2" x14ac:dyDescent="0.35">
      <c r="A392" s="2">
        <v>389</v>
      </c>
      <c r="B392" s="7">
        <v>4.97</v>
      </c>
    </row>
    <row r="393" spans="1:2" x14ac:dyDescent="0.35">
      <c r="A393" s="2">
        <v>390</v>
      </c>
      <c r="B393" s="7">
        <v>4.07</v>
      </c>
    </row>
    <row r="394" spans="1:2" x14ac:dyDescent="0.35">
      <c r="A394" s="2">
        <v>391</v>
      </c>
      <c r="B394" s="7">
        <v>4.01</v>
      </c>
    </row>
    <row r="395" spans="1:2" x14ac:dyDescent="0.35">
      <c r="A395" s="2">
        <v>392</v>
      </c>
      <c r="B395" s="7">
        <v>3.52</v>
      </c>
    </row>
    <row r="396" spans="1:2" x14ac:dyDescent="0.35">
      <c r="A396" s="2">
        <v>393</v>
      </c>
      <c r="B396" s="7">
        <v>4.4000000000000004</v>
      </c>
    </row>
    <row r="397" spans="1:2" x14ac:dyDescent="0.35">
      <c r="A397" s="2">
        <v>394</v>
      </c>
      <c r="B397" s="7">
        <v>3.03</v>
      </c>
    </row>
    <row r="398" spans="1:2" x14ac:dyDescent="0.35">
      <c r="A398" s="2">
        <v>395</v>
      </c>
      <c r="B398" s="7">
        <v>3.1</v>
      </c>
    </row>
    <row r="399" spans="1:2" x14ac:dyDescent="0.35">
      <c r="A399" s="2">
        <v>396</v>
      </c>
      <c r="B399" s="7">
        <v>4.2</v>
      </c>
    </row>
    <row r="400" spans="1:2" x14ac:dyDescent="0.35">
      <c r="A400" s="2">
        <v>397</v>
      </c>
      <c r="B400" s="7">
        <v>3.68</v>
      </c>
    </row>
    <row r="401" spans="1:2" x14ac:dyDescent="0.35">
      <c r="A401" s="2">
        <v>398</v>
      </c>
      <c r="B401" s="7">
        <v>4.91</v>
      </c>
    </row>
    <row r="402" spans="1:2" x14ac:dyDescent="0.35">
      <c r="A402" s="2">
        <v>399</v>
      </c>
      <c r="B402" s="7">
        <v>4.8099999999999996</v>
      </c>
    </row>
    <row r="403" spans="1:2" x14ac:dyDescent="0.35">
      <c r="A403" s="2">
        <v>400</v>
      </c>
      <c r="B403" s="7">
        <v>4.43</v>
      </c>
    </row>
    <row r="404" spans="1:2" x14ac:dyDescent="0.35">
      <c r="A404" s="2">
        <v>401</v>
      </c>
      <c r="B404" s="7">
        <v>4.6399999999999997</v>
      </c>
    </row>
    <row r="405" spans="1:2" x14ac:dyDescent="0.35">
      <c r="A405" s="2">
        <v>402</v>
      </c>
      <c r="B405" s="7">
        <v>4.33</v>
      </c>
    </row>
    <row r="406" spans="1:2" x14ac:dyDescent="0.35">
      <c r="A406" s="2">
        <v>403</v>
      </c>
      <c r="B406" s="7">
        <v>3.25</v>
      </c>
    </row>
    <row r="407" spans="1:2" x14ac:dyDescent="0.35">
      <c r="A407" s="2">
        <v>404</v>
      </c>
      <c r="B407" s="7">
        <v>4.53</v>
      </c>
    </row>
    <row r="408" spans="1:2" x14ac:dyDescent="0.35">
      <c r="A408" s="2">
        <v>405</v>
      </c>
      <c r="B408" s="7">
        <v>3.42</v>
      </c>
    </row>
    <row r="409" spans="1:2" x14ac:dyDescent="0.35">
      <c r="A409" s="2">
        <v>406</v>
      </c>
      <c r="B409" s="7">
        <v>3.65</v>
      </c>
    </row>
    <row r="410" spans="1:2" x14ac:dyDescent="0.35">
      <c r="A410" s="2">
        <v>407</v>
      </c>
      <c r="B410" s="7">
        <v>4.6399999999999997</v>
      </c>
    </row>
    <row r="411" spans="1:2" x14ac:dyDescent="0.35">
      <c r="A411" s="2">
        <v>408</v>
      </c>
      <c r="B411" s="7">
        <v>4.07</v>
      </c>
    </row>
    <row r="412" spans="1:2" x14ac:dyDescent="0.35">
      <c r="A412" s="2">
        <v>409</v>
      </c>
      <c r="B412" s="7">
        <v>4.72</v>
      </c>
    </row>
    <row r="413" spans="1:2" x14ac:dyDescent="0.35">
      <c r="A413" s="2">
        <v>410</v>
      </c>
      <c r="B413" s="7">
        <v>3.43</v>
      </c>
    </row>
    <row r="414" spans="1:2" x14ac:dyDescent="0.35">
      <c r="A414" s="2">
        <v>411</v>
      </c>
      <c r="B414" s="7">
        <v>4.22</v>
      </c>
    </row>
    <row r="415" spans="1:2" x14ac:dyDescent="0.35">
      <c r="A415" s="2">
        <v>412</v>
      </c>
      <c r="B415" s="7">
        <v>3.17</v>
      </c>
    </row>
    <row r="416" spans="1:2" x14ac:dyDescent="0.35">
      <c r="A416" s="2">
        <v>413</v>
      </c>
      <c r="B416" s="7">
        <v>4.29</v>
      </c>
    </row>
    <row r="417" spans="1:2" x14ac:dyDescent="0.35">
      <c r="A417" s="2">
        <v>414</v>
      </c>
      <c r="B417" s="7">
        <v>4.53</v>
      </c>
    </row>
    <row r="418" spans="1:2" x14ac:dyDescent="0.35">
      <c r="A418" s="2">
        <v>415</v>
      </c>
      <c r="B418" s="7">
        <v>4.17</v>
      </c>
    </row>
    <row r="419" spans="1:2" x14ac:dyDescent="0.35">
      <c r="A419" s="2">
        <v>416</v>
      </c>
      <c r="B419" s="7">
        <v>3.53</v>
      </c>
    </row>
    <row r="420" spans="1:2" x14ac:dyDescent="0.35">
      <c r="A420" s="2">
        <v>417</v>
      </c>
      <c r="B420" s="7">
        <v>3.06</v>
      </c>
    </row>
    <row r="421" spans="1:2" x14ac:dyDescent="0.35">
      <c r="A421" s="2">
        <v>418</v>
      </c>
      <c r="B421" s="7">
        <v>3.24</v>
      </c>
    </row>
    <row r="422" spans="1:2" x14ac:dyDescent="0.35">
      <c r="A422" s="2">
        <v>419</v>
      </c>
      <c r="B422" s="7">
        <v>4.24</v>
      </c>
    </row>
    <row r="423" spans="1:2" x14ac:dyDescent="0.35">
      <c r="A423" s="2">
        <v>420</v>
      </c>
      <c r="B423" s="7">
        <v>4.87</v>
      </c>
    </row>
    <row r="424" spans="1:2" x14ac:dyDescent="0.35">
      <c r="A424" s="2">
        <v>421</v>
      </c>
      <c r="B424" s="7">
        <v>3.41</v>
      </c>
    </row>
    <row r="425" spans="1:2" x14ac:dyDescent="0.35">
      <c r="A425" s="2">
        <v>422</v>
      </c>
      <c r="B425" s="7">
        <v>4.47</v>
      </c>
    </row>
    <row r="426" spans="1:2" x14ac:dyDescent="0.35">
      <c r="A426" s="2">
        <v>423</v>
      </c>
      <c r="B426" s="7">
        <v>4.7300000000000004</v>
      </c>
    </row>
    <row r="427" spans="1:2" x14ac:dyDescent="0.35">
      <c r="A427" s="2">
        <v>424</v>
      </c>
      <c r="B427" s="7">
        <v>4.04</v>
      </c>
    </row>
    <row r="428" spans="1:2" x14ac:dyDescent="0.35">
      <c r="A428" s="2">
        <v>425</v>
      </c>
      <c r="B428" s="7">
        <v>4.34</v>
      </c>
    </row>
    <row r="429" spans="1:2" x14ac:dyDescent="0.35">
      <c r="A429" s="2">
        <v>426</v>
      </c>
      <c r="B429" s="7">
        <v>4.63</v>
      </c>
    </row>
    <row r="430" spans="1:2" x14ac:dyDescent="0.35">
      <c r="A430" s="2">
        <v>427</v>
      </c>
      <c r="B430" s="7">
        <v>3.52</v>
      </c>
    </row>
    <row r="431" spans="1:2" x14ac:dyDescent="0.35">
      <c r="A431" s="2">
        <v>428</v>
      </c>
      <c r="B431" s="7">
        <v>3.59</v>
      </c>
    </row>
    <row r="432" spans="1:2" x14ac:dyDescent="0.35">
      <c r="A432" s="2">
        <v>429</v>
      </c>
      <c r="B432" s="7">
        <v>3</v>
      </c>
    </row>
    <row r="433" spans="1:2" x14ac:dyDescent="0.35">
      <c r="A433" s="2">
        <v>430</v>
      </c>
      <c r="B433" s="7">
        <v>4.93</v>
      </c>
    </row>
    <row r="434" spans="1:2" x14ac:dyDescent="0.35">
      <c r="A434" s="2">
        <v>431</v>
      </c>
      <c r="B434" s="7">
        <v>4.84</v>
      </c>
    </row>
    <row r="435" spans="1:2" x14ac:dyDescent="0.35">
      <c r="A435" s="2">
        <v>432</v>
      </c>
      <c r="B435" s="7">
        <v>4.53</v>
      </c>
    </row>
    <row r="436" spans="1:2" x14ac:dyDescent="0.35">
      <c r="A436" s="2">
        <v>433</v>
      </c>
      <c r="B436" s="7">
        <v>3.16</v>
      </c>
    </row>
    <row r="437" spans="1:2" x14ac:dyDescent="0.35">
      <c r="A437" s="2">
        <v>434</v>
      </c>
      <c r="B437" s="7">
        <v>3.9</v>
      </c>
    </row>
    <row r="438" spans="1:2" x14ac:dyDescent="0.35">
      <c r="A438" s="2">
        <v>435</v>
      </c>
      <c r="B438" s="7">
        <v>3.2</v>
      </c>
    </row>
    <row r="439" spans="1:2" x14ac:dyDescent="0.35">
      <c r="A439" s="2">
        <v>436</v>
      </c>
      <c r="B439" s="7">
        <v>3.03</v>
      </c>
    </row>
    <row r="440" spans="1:2" x14ac:dyDescent="0.35">
      <c r="A440" s="2">
        <v>437</v>
      </c>
      <c r="B440" s="7">
        <v>4.2300000000000004</v>
      </c>
    </row>
    <row r="441" spans="1:2" x14ac:dyDescent="0.35">
      <c r="A441" s="2">
        <v>438</v>
      </c>
      <c r="B441" s="7">
        <v>4.92</v>
      </c>
    </row>
    <row r="442" spans="1:2" x14ac:dyDescent="0.35">
      <c r="A442" s="2">
        <v>439</v>
      </c>
      <c r="B442" s="7">
        <v>4.8099999999999996</v>
      </c>
    </row>
    <row r="443" spans="1:2" x14ac:dyDescent="0.35">
      <c r="A443" s="2">
        <v>440</v>
      </c>
      <c r="B443" s="7">
        <v>4.3899999999999997</v>
      </c>
    </row>
    <row r="444" spans="1:2" x14ac:dyDescent="0.35">
      <c r="A444" s="2">
        <v>441</v>
      </c>
      <c r="B444" s="7">
        <v>3.19</v>
      </c>
    </row>
    <row r="445" spans="1:2" x14ac:dyDescent="0.35">
      <c r="A445" s="2">
        <v>442</v>
      </c>
      <c r="B445" s="7">
        <v>3.55</v>
      </c>
    </row>
    <row r="446" spans="1:2" x14ac:dyDescent="0.35">
      <c r="A446" s="2">
        <v>443</v>
      </c>
      <c r="B446" s="7">
        <v>3.64</v>
      </c>
    </row>
    <row r="447" spans="1:2" x14ac:dyDescent="0.35">
      <c r="A447" s="2">
        <v>444</v>
      </c>
      <c r="B447" s="7">
        <v>4.53</v>
      </c>
    </row>
    <row r="448" spans="1:2" x14ac:dyDescent="0.35">
      <c r="A448" s="2">
        <v>445</v>
      </c>
      <c r="B448" s="7">
        <v>4.5999999999999996</v>
      </c>
    </row>
    <row r="449" spans="1:2" x14ac:dyDescent="0.35">
      <c r="A449" s="2">
        <v>446</v>
      </c>
      <c r="B449" s="7">
        <v>3.77</v>
      </c>
    </row>
    <row r="450" spans="1:2" x14ac:dyDescent="0.35">
      <c r="A450" s="2">
        <v>447</v>
      </c>
      <c r="B450" s="7">
        <v>3.84</v>
      </c>
    </row>
    <row r="451" spans="1:2" x14ac:dyDescent="0.35">
      <c r="A451" s="2">
        <v>448</v>
      </c>
      <c r="B451" s="7">
        <v>3.09</v>
      </c>
    </row>
    <row r="452" spans="1:2" x14ac:dyDescent="0.35">
      <c r="A452" s="2">
        <v>449</v>
      </c>
      <c r="B452" s="7">
        <v>3.58</v>
      </c>
    </row>
    <row r="453" spans="1:2" x14ac:dyDescent="0.35">
      <c r="A453" s="2">
        <v>450</v>
      </c>
      <c r="B453" s="7">
        <v>3.9</v>
      </c>
    </row>
    <row r="454" spans="1:2" x14ac:dyDescent="0.35">
      <c r="A454" s="2">
        <v>451</v>
      </c>
      <c r="B454" s="7">
        <v>3.23</v>
      </c>
    </row>
    <row r="455" spans="1:2" x14ac:dyDescent="0.35">
      <c r="A455" s="2">
        <v>452</v>
      </c>
      <c r="B455" s="7">
        <v>3.91</v>
      </c>
    </row>
    <row r="456" spans="1:2" x14ac:dyDescent="0.35">
      <c r="A456" s="2">
        <v>453</v>
      </c>
      <c r="B456" s="7">
        <v>4.71</v>
      </c>
    </row>
    <row r="457" spans="1:2" x14ac:dyDescent="0.35">
      <c r="A457" s="2">
        <v>454</v>
      </c>
      <c r="B457" s="7">
        <v>4.16</v>
      </c>
    </row>
    <row r="458" spans="1:2" x14ac:dyDescent="0.35">
      <c r="A458" s="2">
        <v>455</v>
      </c>
      <c r="B458" s="7">
        <v>3.16</v>
      </c>
    </row>
    <row r="459" spans="1:2" x14ac:dyDescent="0.35">
      <c r="A459" s="2">
        <v>456</v>
      </c>
      <c r="B459" s="7">
        <v>3.38</v>
      </c>
    </row>
    <row r="460" spans="1:2" x14ac:dyDescent="0.35">
      <c r="A460" s="2">
        <v>457</v>
      </c>
      <c r="B460" s="7">
        <v>3.95</v>
      </c>
    </row>
    <row r="461" spans="1:2" x14ac:dyDescent="0.35">
      <c r="A461" s="2">
        <v>458</v>
      </c>
      <c r="B461" s="7">
        <v>3.72</v>
      </c>
    </row>
    <row r="462" spans="1:2" x14ac:dyDescent="0.35">
      <c r="A462" s="2">
        <v>459</v>
      </c>
      <c r="B462" s="7">
        <v>3.72</v>
      </c>
    </row>
    <row r="463" spans="1:2" x14ac:dyDescent="0.35">
      <c r="A463" s="2">
        <v>460</v>
      </c>
      <c r="B463" s="7">
        <v>4.0599999999999996</v>
      </c>
    </row>
    <row r="464" spans="1:2" x14ac:dyDescent="0.35">
      <c r="A464" s="2">
        <v>461</v>
      </c>
      <c r="B464" s="7">
        <v>4.17</v>
      </c>
    </row>
    <row r="465" spans="1:2" x14ac:dyDescent="0.35">
      <c r="A465" s="2">
        <v>462</v>
      </c>
      <c r="B465" s="7">
        <v>4.59</v>
      </c>
    </row>
    <row r="466" spans="1:2" x14ac:dyDescent="0.35">
      <c r="A466" s="2">
        <v>463</v>
      </c>
      <c r="B466" s="7">
        <v>3.68</v>
      </c>
    </row>
    <row r="467" spans="1:2" x14ac:dyDescent="0.35">
      <c r="A467" s="2">
        <v>464</v>
      </c>
      <c r="B467" s="7">
        <v>4.6100000000000003</v>
      </c>
    </row>
    <row r="468" spans="1:2" x14ac:dyDescent="0.35">
      <c r="A468" s="2">
        <v>465</v>
      </c>
      <c r="B468" s="7">
        <v>3.68</v>
      </c>
    </row>
    <row r="469" spans="1:2" x14ac:dyDescent="0.35">
      <c r="A469" s="2">
        <v>466</v>
      </c>
      <c r="B469" s="7">
        <v>3.11</v>
      </c>
    </row>
    <row r="470" spans="1:2" x14ac:dyDescent="0.35">
      <c r="A470" s="2">
        <v>467</v>
      </c>
      <c r="B470" s="7">
        <v>4.1100000000000003</v>
      </c>
    </row>
    <row r="471" spans="1:2" x14ac:dyDescent="0.35">
      <c r="A471" s="2">
        <v>468</v>
      </c>
      <c r="B471" s="7">
        <v>4.18</v>
      </c>
    </row>
    <row r="472" spans="1:2" x14ac:dyDescent="0.35">
      <c r="A472" s="2">
        <v>469</v>
      </c>
      <c r="B472" s="7">
        <v>4.87</v>
      </c>
    </row>
    <row r="473" spans="1:2" x14ac:dyDescent="0.35">
      <c r="A473" s="2">
        <v>470</v>
      </c>
      <c r="B473" s="7">
        <v>4.45</v>
      </c>
    </row>
    <row r="474" spans="1:2" x14ac:dyDescent="0.35">
      <c r="A474" s="2">
        <v>471</v>
      </c>
      <c r="B474" s="7">
        <v>4.84</v>
      </c>
    </row>
    <row r="475" spans="1:2" x14ac:dyDescent="0.35">
      <c r="A475" s="2">
        <v>472</v>
      </c>
      <c r="B475" s="7">
        <v>4.82</v>
      </c>
    </row>
    <row r="476" spans="1:2" x14ac:dyDescent="0.35">
      <c r="A476" s="2">
        <v>473</v>
      </c>
      <c r="B476" s="7">
        <v>4.21</v>
      </c>
    </row>
    <row r="477" spans="1:2" x14ac:dyDescent="0.35">
      <c r="A477" s="2">
        <v>474</v>
      </c>
      <c r="B477" s="7">
        <v>4.0599999999999996</v>
      </c>
    </row>
    <row r="478" spans="1:2" x14ac:dyDescent="0.35">
      <c r="A478" s="2">
        <v>475</v>
      </c>
      <c r="B478" s="7">
        <v>4.1100000000000003</v>
      </c>
    </row>
    <row r="479" spans="1:2" x14ac:dyDescent="0.35">
      <c r="A479" s="2">
        <v>476</v>
      </c>
      <c r="B479" s="7">
        <v>4.96</v>
      </c>
    </row>
    <row r="480" spans="1:2" x14ac:dyDescent="0.35">
      <c r="A480" s="2">
        <v>477</v>
      </c>
      <c r="B480" s="7">
        <v>4.55</v>
      </c>
    </row>
    <row r="481" spans="1:2" x14ac:dyDescent="0.35">
      <c r="A481" s="2">
        <v>478</v>
      </c>
      <c r="B481" s="7">
        <v>3.21</v>
      </c>
    </row>
    <row r="482" spans="1:2" x14ac:dyDescent="0.35">
      <c r="A482" s="2">
        <v>479</v>
      </c>
      <c r="B482" s="7">
        <v>4.5599999999999996</v>
      </c>
    </row>
    <row r="483" spans="1:2" x14ac:dyDescent="0.35">
      <c r="A483" s="2">
        <v>480</v>
      </c>
      <c r="B483" s="7">
        <v>3.34</v>
      </c>
    </row>
    <row r="484" spans="1:2" x14ac:dyDescent="0.35">
      <c r="A484" s="2">
        <v>481</v>
      </c>
      <c r="B484" s="7">
        <v>3.89</v>
      </c>
    </row>
    <row r="485" spans="1:2" x14ac:dyDescent="0.35">
      <c r="A485" s="2">
        <v>482</v>
      </c>
      <c r="B485" s="7">
        <v>3.42</v>
      </c>
    </row>
    <row r="486" spans="1:2" x14ac:dyDescent="0.35">
      <c r="A486" s="2">
        <v>483</v>
      </c>
      <c r="B486" s="7">
        <v>4.38</v>
      </c>
    </row>
    <row r="487" spans="1:2" x14ac:dyDescent="0.35">
      <c r="A487" s="2">
        <v>484</v>
      </c>
      <c r="B487" s="7">
        <v>4.75</v>
      </c>
    </row>
    <row r="488" spans="1:2" x14ac:dyDescent="0.35">
      <c r="A488" s="2">
        <v>485</v>
      </c>
      <c r="B488" s="7">
        <v>3.58</v>
      </c>
    </row>
    <row r="489" spans="1:2" x14ac:dyDescent="0.35">
      <c r="A489" s="2">
        <v>486</v>
      </c>
      <c r="B489" s="7">
        <v>3.16</v>
      </c>
    </row>
    <row r="490" spans="1:2" x14ac:dyDescent="0.35">
      <c r="A490" s="2">
        <v>487</v>
      </c>
      <c r="B490" s="7">
        <v>3.6</v>
      </c>
    </row>
    <row r="491" spans="1:2" x14ac:dyDescent="0.35">
      <c r="A491" s="2">
        <v>488</v>
      </c>
      <c r="B491" s="7">
        <v>4.34</v>
      </c>
    </row>
    <row r="492" spans="1:2" x14ac:dyDescent="0.35">
      <c r="A492" s="2">
        <v>489</v>
      </c>
      <c r="B492" s="7">
        <v>3.66</v>
      </c>
    </row>
    <row r="493" spans="1:2" x14ac:dyDescent="0.35">
      <c r="A493" s="2">
        <v>490</v>
      </c>
      <c r="B493" s="7">
        <v>3.56</v>
      </c>
    </row>
    <row r="494" spans="1:2" x14ac:dyDescent="0.35">
      <c r="A494" s="2">
        <v>491</v>
      </c>
      <c r="B494" s="7">
        <v>3.37</v>
      </c>
    </row>
    <row r="495" spans="1:2" x14ac:dyDescent="0.35">
      <c r="A495" s="2">
        <v>492</v>
      </c>
      <c r="B495" s="7">
        <v>4</v>
      </c>
    </row>
    <row r="496" spans="1:2" x14ac:dyDescent="0.35">
      <c r="A496" s="2">
        <v>493</v>
      </c>
      <c r="B496" s="7">
        <v>3.55</v>
      </c>
    </row>
    <row r="497" spans="1:2" x14ac:dyDescent="0.35">
      <c r="A497" s="2">
        <v>494</v>
      </c>
      <c r="B497" s="7">
        <v>4.46</v>
      </c>
    </row>
    <row r="498" spans="1:2" x14ac:dyDescent="0.35">
      <c r="A498" s="2">
        <v>495</v>
      </c>
      <c r="B498" s="7">
        <v>3.15</v>
      </c>
    </row>
    <row r="499" spans="1:2" x14ac:dyDescent="0.35">
      <c r="A499" s="2">
        <v>496</v>
      </c>
      <c r="B499" s="7">
        <v>4.33</v>
      </c>
    </row>
    <row r="500" spans="1:2" x14ac:dyDescent="0.35">
      <c r="A500" s="2">
        <v>497</v>
      </c>
      <c r="B500" s="7">
        <v>3.48</v>
      </c>
    </row>
    <row r="501" spans="1:2" x14ac:dyDescent="0.35">
      <c r="A501" s="2">
        <v>498</v>
      </c>
      <c r="B501" s="7">
        <v>3.98</v>
      </c>
    </row>
    <row r="502" spans="1:2" x14ac:dyDescent="0.35">
      <c r="A502" s="2">
        <v>499</v>
      </c>
      <c r="B502" s="7">
        <v>3.57</v>
      </c>
    </row>
    <row r="503" spans="1:2" x14ac:dyDescent="0.35">
      <c r="A503" s="2">
        <v>500</v>
      </c>
      <c r="B503" s="7">
        <v>4.45</v>
      </c>
    </row>
    <row r="504" spans="1:2" x14ac:dyDescent="0.35">
      <c r="A504" s="2">
        <v>501</v>
      </c>
      <c r="B504" s="7">
        <v>4.8899999999999997</v>
      </c>
    </row>
    <row r="505" spans="1:2" x14ac:dyDescent="0.35">
      <c r="A505" s="2">
        <v>502</v>
      </c>
      <c r="B505" s="7">
        <v>4.83</v>
      </c>
    </row>
    <row r="506" spans="1:2" x14ac:dyDescent="0.35">
      <c r="A506" s="2">
        <v>503</v>
      </c>
      <c r="B506" s="7">
        <v>4.17</v>
      </c>
    </row>
    <row r="507" spans="1:2" x14ac:dyDescent="0.35">
      <c r="A507" s="2">
        <v>504</v>
      </c>
      <c r="B507" s="7">
        <v>3.93</v>
      </c>
    </row>
    <row r="508" spans="1:2" x14ac:dyDescent="0.35">
      <c r="A508" s="2">
        <v>505</v>
      </c>
      <c r="B508" s="7">
        <v>4.6399999999999997</v>
      </c>
    </row>
    <row r="509" spans="1:2" x14ac:dyDescent="0.35">
      <c r="A509" s="2">
        <v>506</v>
      </c>
      <c r="B509" s="7">
        <v>4.37</v>
      </c>
    </row>
    <row r="510" spans="1:2" x14ac:dyDescent="0.35">
      <c r="A510" s="2">
        <v>507</v>
      </c>
      <c r="B510" s="7">
        <v>3.37</v>
      </c>
    </row>
    <row r="511" spans="1:2" x14ac:dyDescent="0.35">
      <c r="A511" s="2">
        <v>508</v>
      </c>
      <c r="B511" s="7">
        <v>4.6399999999999997</v>
      </c>
    </row>
    <row r="512" spans="1:2" x14ac:dyDescent="0.35">
      <c r="A512" s="2">
        <v>509</v>
      </c>
      <c r="B512" s="7">
        <v>3.86</v>
      </c>
    </row>
    <row r="513" spans="1:2" x14ac:dyDescent="0.35">
      <c r="A513" s="2">
        <v>510</v>
      </c>
      <c r="B513" s="7">
        <v>3.38</v>
      </c>
    </row>
    <row r="514" spans="1:2" x14ac:dyDescent="0.35">
      <c r="A514" s="2">
        <v>511</v>
      </c>
      <c r="B514" s="7">
        <v>3.56</v>
      </c>
    </row>
    <row r="515" spans="1:2" x14ac:dyDescent="0.35">
      <c r="A515" s="2">
        <v>512</v>
      </c>
      <c r="B515" s="7">
        <v>3.54</v>
      </c>
    </row>
    <row r="516" spans="1:2" x14ac:dyDescent="0.35">
      <c r="A516" s="2">
        <v>513</v>
      </c>
      <c r="B516" s="7">
        <v>4.04</v>
      </c>
    </row>
    <row r="517" spans="1:2" x14ac:dyDescent="0.35">
      <c r="A517" s="2">
        <v>514</v>
      </c>
      <c r="B517" s="7">
        <v>3.47</v>
      </c>
    </row>
    <row r="518" spans="1:2" x14ac:dyDescent="0.35">
      <c r="A518" s="2">
        <v>515</v>
      </c>
      <c r="B518" s="7">
        <v>3.25</v>
      </c>
    </row>
    <row r="519" spans="1:2" x14ac:dyDescent="0.35">
      <c r="A519" s="2">
        <v>516</v>
      </c>
      <c r="B519" s="7">
        <v>3.25</v>
      </c>
    </row>
    <row r="520" spans="1:2" x14ac:dyDescent="0.35">
      <c r="A520" s="2">
        <v>517</v>
      </c>
      <c r="B520" s="7">
        <v>4.17</v>
      </c>
    </row>
    <row r="521" spans="1:2" x14ac:dyDescent="0.35">
      <c r="A521" s="2">
        <v>518</v>
      </c>
      <c r="B521" s="7">
        <v>4.47</v>
      </c>
    </row>
    <row r="522" spans="1:2" x14ac:dyDescent="0.35">
      <c r="A522" s="2">
        <v>519</v>
      </c>
      <c r="B522" s="7">
        <v>3.64</v>
      </c>
    </row>
    <row r="523" spans="1:2" x14ac:dyDescent="0.35">
      <c r="A523" s="2">
        <v>520</v>
      </c>
      <c r="B523" s="7">
        <v>3.07</v>
      </c>
    </row>
    <row r="524" spans="1:2" x14ac:dyDescent="0.35">
      <c r="A524" s="2">
        <v>521</v>
      </c>
      <c r="B524" s="7">
        <v>3.25</v>
      </c>
    </row>
    <row r="525" spans="1:2" x14ac:dyDescent="0.35">
      <c r="A525" s="2">
        <v>522</v>
      </c>
      <c r="B525" s="7">
        <v>4.83</v>
      </c>
    </row>
    <row r="526" spans="1:2" x14ac:dyDescent="0.35">
      <c r="A526" s="2">
        <v>523</v>
      </c>
      <c r="B526" s="7">
        <v>3.99</v>
      </c>
    </row>
    <row r="527" spans="1:2" x14ac:dyDescent="0.35">
      <c r="A527" s="2">
        <v>524</v>
      </c>
      <c r="B527" s="7">
        <v>3.91</v>
      </c>
    </row>
    <row r="528" spans="1:2" ht="21" x14ac:dyDescent="0.5">
      <c r="A528" s="2">
        <v>525</v>
      </c>
      <c r="B528" s="7">
        <v>3.08</v>
      </c>
    </row>
    <row r="529" spans="1:2" x14ac:dyDescent="0.35">
      <c r="A529" s="2">
        <v>526</v>
      </c>
      <c r="B529" s="7">
        <v>4.46</v>
      </c>
    </row>
    <row r="530" spans="1:2" x14ac:dyDescent="0.35">
      <c r="A530" s="2">
        <v>527</v>
      </c>
      <c r="B530" s="7">
        <v>4.0599999999999996</v>
      </c>
    </row>
    <row r="531" spans="1:2" x14ac:dyDescent="0.35">
      <c r="A531" s="2">
        <v>528</v>
      </c>
      <c r="B531" s="7">
        <v>3.4</v>
      </c>
    </row>
    <row r="532" spans="1:2" x14ac:dyDescent="0.35">
      <c r="A532" s="2">
        <v>529</v>
      </c>
      <c r="B532" s="7">
        <v>3.22</v>
      </c>
    </row>
    <row r="533" spans="1:2" x14ac:dyDescent="0.35">
      <c r="A533" s="2">
        <v>530</v>
      </c>
      <c r="B533" s="7">
        <v>3.77</v>
      </c>
    </row>
    <row r="534" spans="1:2" x14ac:dyDescent="0.35">
      <c r="A534" s="2">
        <v>531</v>
      </c>
      <c r="B534" s="7">
        <v>4.67</v>
      </c>
    </row>
    <row r="535" spans="1:2" x14ac:dyDescent="0.35">
      <c r="A535" s="2">
        <v>532</v>
      </c>
      <c r="B535" s="7">
        <v>4.7300000000000004</v>
      </c>
    </row>
    <row r="536" spans="1:2" x14ac:dyDescent="0.35">
      <c r="A536" s="2">
        <v>533</v>
      </c>
      <c r="B536" s="7">
        <v>4.21</v>
      </c>
    </row>
    <row r="537" spans="1:2" x14ac:dyDescent="0.35">
      <c r="A537" s="2">
        <v>534</v>
      </c>
      <c r="B537" s="7">
        <v>4.46</v>
      </c>
    </row>
    <row r="538" spans="1:2" x14ac:dyDescent="0.35">
      <c r="A538" s="2">
        <v>535</v>
      </c>
      <c r="B538" s="7">
        <v>3.23</v>
      </c>
    </row>
    <row r="539" spans="1:2" x14ac:dyDescent="0.35">
      <c r="A539" s="2">
        <v>536</v>
      </c>
      <c r="B539" s="7">
        <v>4.18</v>
      </c>
    </row>
    <row r="540" spans="1:2" x14ac:dyDescent="0.35">
      <c r="A540" s="2">
        <v>537</v>
      </c>
      <c r="B540" s="7">
        <v>4.33</v>
      </c>
    </row>
    <row r="541" spans="1:2" x14ac:dyDescent="0.35">
      <c r="A541" s="2">
        <v>538</v>
      </c>
      <c r="B541" s="7">
        <v>3.4</v>
      </c>
    </row>
    <row r="542" spans="1:2" x14ac:dyDescent="0.35">
      <c r="A542" s="2">
        <v>539</v>
      </c>
      <c r="B542" s="7">
        <v>4.76</v>
      </c>
    </row>
    <row r="543" spans="1:2" x14ac:dyDescent="0.35">
      <c r="A543" s="2">
        <v>540</v>
      </c>
      <c r="B543" s="7">
        <v>3.39</v>
      </c>
    </row>
    <row r="544" spans="1:2" x14ac:dyDescent="0.35">
      <c r="A544" s="2">
        <v>541</v>
      </c>
      <c r="B544" s="7">
        <v>3.63</v>
      </c>
    </row>
    <row r="545" spans="1:2" x14ac:dyDescent="0.35">
      <c r="A545" s="2">
        <v>542</v>
      </c>
      <c r="B545" s="7">
        <v>4.24</v>
      </c>
    </row>
    <row r="546" spans="1:2" x14ac:dyDescent="0.35">
      <c r="A546" s="2">
        <v>543</v>
      </c>
      <c r="B546" s="7">
        <v>4.28</v>
      </c>
    </row>
    <row r="547" spans="1:2" x14ac:dyDescent="0.35">
      <c r="A547" s="2">
        <v>544</v>
      </c>
      <c r="B547" s="7">
        <v>4.4000000000000004</v>
      </c>
    </row>
    <row r="548" spans="1:2" x14ac:dyDescent="0.35">
      <c r="A548" s="2">
        <v>545</v>
      </c>
      <c r="B548" s="7">
        <v>3.22</v>
      </c>
    </row>
    <row r="549" spans="1:2" x14ac:dyDescent="0.35">
      <c r="A549" s="2">
        <v>546</v>
      </c>
      <c r="B549" s="7">
        <v>4.7</v>
      </c>
    </row>
    <row r="550" spans="1:2" x14ac:dyDescent="0.35">
      <c r="A550" s="2">
        <v>547</v>
      </c>
      <c r="B550" s="7">
        <v>4.07</v>
      </c>
    </row>
    <row r="551" spans="1:2" x14ac:dyDescent="0.35">
      <c r="A551" s="2">
        <v>548</v>
      </c>
      <c r="B551" s="7">
        <v>3.94</v>
      </c>
    </row>
    <row r="552" spans="1:2" x14ac:dyDescent="0.35">
      <c r="A552" s="2">
        <v>549</v>
      </c>
      <c r="B552" s="7">
        <v>4.96</v>
      </c>
    </row>
    <row r="553" spans="1:2" x14ac:dyDescent="0.35">
      <c r="A553" s="2">
        <v>550</v>
      </c>
      <c r="B553" s="7">
        <v>4.4800000000000004</v>
      </c>
    </row>
    <row r="554" spans="1:2" x14ac:dyDescent="0.35">
      <c r="A554" s="2">
        <v>551</v>
      </c>
      <c r="B554" s="7">
        <v>3.24</v>
      </c>
    </row>
    <row r="555" spans="1:2" x14ac:dyDescent="0.35">
      <c r="A555" s="2">
        <v>552</v>
      </c>
      <c r="B555" s="7">
        <v>4.51</v>
      </c>
    </row>
    <row r="556" spans="1:2" x14ac:dyDescent="0.35">
      <c r="A556" s="2">
        <v>553</v>
      </c>
      <c r="B556" s="7">
        <v>3.19</v>
      </c>
    </row>
    <row r="557" spans="1:2" x14ac:dyDescent="0.35">
      <c r="A557" s="2">
        <v>554</v>
      </c>
      <c r="B557" s="7">
        <v>3.05</v>
      </c>
    </row>
    <row r="558" spans="1:2" x14ac:dyDescent="0.35">
      <c r="A558" s="2">
        <v>555</v>
      </c>
      <c r="B558" s="7">
        <v>3.81</v>
      </c>
    </row>
    <row r="559" spans="1:2" x14ac:dyDescent="0.35">
      <c r="A559" s="2">
        <v>556</v>
      </c>
      <c r="B559" s="7">
        <v>4.99</v>
      </c>
    </row>
    <row r="560" spans="1:2" x14ac:dyDescent="0.35">
      <c r="A560" s="2">
        <v>557</v>
      </c>
      <c r="B560" s="7">
        <v>3.35</v>
      </c>
    </row>
    <row r="561" spans="1:2" x14ac:dyDescent="0.35">
      <c r="A561" s="2">
        <v>558</v>
      </c>
      <c r="B561" s="7">
        <v>4.3499999999999996</v>
      </c>
    </row>
    <row r="562" spans="1:2" x14ac:dyDescent="0.35">
      <c r="A562" s="2">
        <v>559</v>
      </c>
      <c r="B562" s="7">
        <v>3.35</v>
      </c>
    </row>
    <row r="563" spans="1:2" x14ac:dyDescent="0.35">
      <c r="A563" s="2">
        <v>560</v>
      </c>
      <c r="B563" s="7">
        <v>4.45</v>
      </c>
    </row>
    <row r="564" spans="1:2" x14ac:dyDescent="0.35">
      <c r="A564" s="2">
        <v>561</v>
      </c>
      <c r="B564" s="7">
        <v>4.01</v>
      </c>
    </row>
    <row r="565" spans="1:2" x14ac:dyDescent="0.35">
      <c r="A565" s="2">
        <v>562</v>
      </c>
      <c r="B565" s="7">
        <v>4.3600000000000003</v>
      </c>
    </row>
    <row r="566" spans="1:2" x14ac:dyDescent="0.35">
      <c r="A566" s="2">
        <v>563</v>
      </c>
      <c r="B566" s="7">
        <v>3.41</v>
      </c>
    </row>
    <row r="567" spans="1:2" x14ac:dyDescent="0.35">
      <c r="A567" s="2">
        <v>564</v>
      </c>
      <c r="B567" s="7">
        <v>4.49</v>
      </c>
    </row>
    <row r="568" spans="1:2" x14ac:dyDescent="0.35">
      <c r="A568" s="2">
        <v>565</v>
      </c>
      <c r="B568" s="7">
        <v>4.99</v>
      </c>
    </row>
    <row r="569" spans="1:2" x14ac:dyDescent="0.35">
      <c r="A569" s="2">
        <v>566</v>
      </c>
      <c r="B569" s="7">
        <v>4.33</v>
      </c>
    </row>
    <row r="570" spans="1:2" x14ac:dyDescent="0.35">
      <c r="A570" s="2">
        <v>567</v>
      </c>
      <c r="B570" s="7">
        <v>3.99</v>
      </c>
    </row>
    <row r="571" spans="1:2" x14ac:dyDescent="0.35">
      <c r="A571" s="2">
        <v>568</v>
      </c>
      <c r="B571" s="7">
        <v>4.8499999999999996</v>
      </c>
    </row>
    <row r="572" spans="1:2" x14ac:dyDescent="0.35">
      <c r="A572" s="2">
        <v>569</v>
      </c>
      <c r="B572" s="7">
        <v>3.03</v>
      </c>
    </row>
    <row r="573" spans="1:2" x14ac:dyDescent="0.35">
      <c r="A573" s="2">
        <v>570</v>
      </c>
      <c r="B573" s="7">
        <v>4.46</v>
      </c>
    </row>
    <row r="574" spans="1:2" x14ac:dyDescent="0.35">
      <c r="A574" s="2">
        <v>571</v>
      </c>
      <c r="B574" s="7">
        <v>4.78</v>
      </c>
    </row>
    <row r="575" spans="1:2" x14ac:dyDescent="0.35">
      <c r="A575" s="2">
        <v>572</v>
      </c>
      <c r="B575" s="7">
        <v>3.12</v>
      </c>
    </row>
    <row r="576" spans="1:2" x14ac:dyDescent="0.35">
      <c r="A576" s="2">
        <v>573</v>
      </c>
      <c r="B576" s="7">
        <v>3.9</v>
      </c>
    </row>
    <row r="577" spans="1:2" x14ac:dyDescent="0.35">
      <c r="A577" s="2">
        <v>574</v>
      </c>
      <c r="B577" s="7">
        <v>3.41</v>
      </c>
    </row>
    <row r="578" spans="1:2" x14ac:dyDescent="0.35">
      <c r="A578" s="2">
        <v>575</v>
      </c>
      <c r="B578" s="7">
        <v>4.13</v>
      </c>
    </row>
    <row r="579" spans="1:2" x14ac:dyDescent="0.35">
      <c r="A579" s="2">
        <v>576</v>
      </c>
      <c r="B579" s="7">
        <v>4.3</v>
      </c>
    </row>
    <row r="580" spans="1:2" x14ac:dyDescent="0.35">
      <c r="A580" s="2">
        <v>577</v>
      </c>
      <c r="B580" s="7">
        <v>3.61</v>
      </c>
    </row>
    <row r="581" spans="1:2" x14ac:dyDescent="0.35">
      <c r="A581" s="2">
        <v>578</v>
      </c>
      <c r="B581" s="7">
        <v>3.92</v>
      </c>
    </row>
    <row r="582" spans="1:2" x14ac:dyDescent="0.35">
      <c r="A582" s="2">
        <v>579</v>
      </c>
      <c r="B582" s="7">
        <v>3.56</v>
      </c>
    </row>
    <row r="583" spans="1:2" x14ac:dyDescent="0.35">
      <c r="A583" s="2">
        <v>580</v>
      </c>
      <c r="B583" s="7">
        <v>3.74</v>
      </c>
    </row>
    <row r="584" spans="1:2" x14ac:dyDescent="0.35">
      <c r="A584" s="2">
        <v>581</v>
      </c>
      <c r="B584" s="7">
        <v>3.32</v>
      </c>
    </row>
    <row r="585" spans="1:2" x14ac:dyDescent="0.35">
      <c r="A585" s="2">
        <v>582</v>
      </c>
      <c r="B585" s="7">
        <v>4.7699999999999996</v>
      </c>
    </row>
    <row r="586" spans="1:2" x14ac:dyDescent="0.35">
      <c r="A586" s="2">
        <v>583</v>
      </c>
      <c r="B586" s="7">
        <v>3.02</v>
      </c>
    </row>
    <row r="587" spans="1:2" x14ac:dyDescent="0.35">
      <c r="A587" s="2">
        <v>584</v>
      </c>
      <c r="B587" s="7">
        <v>4.76</v>
      </c>
    </row>
    <row r="588" spans="1:2" x14ac:dyDescent="0.35">
      <c r="A588" s="2">
        <v>585</v>
      </c>
      <c r="B588" s="7">
        <v>4.1399999999999997</v>
      </c>
    </row>
    <row r="589" spans="1:2" x14ac:dyDescent="0.35">
      <c r="A589" s="2">
        <v>586</v>
      </c>
      <c r="B589" s="7">
        <v>3.66</v>
      </c>
    </row>
    <row r="590" spans="1:2" x14ac:dyDescent="0.35">
      <c r="A590" s="2">
        <v>587</v>
      </c>
      <c r="B590" s="7">
        <v>4.45</v>
      </c>
    </row>
    <row r="591" spans="1:2" x14ac:dyDescent="0.35">
      <c r="A591" s="2">
        <v>588</v>
      </c>
      <c r="B591" s="7">
        <v>4.0199999999999996</v>
      </c>
    </row>
    <row r="592" spans="1:2" x14ac:dyDescent="0.35">
      <c r="A592" s="2">
        <v>589</v>
      </c>
      <c r="B592" s="7">
        <v>4</v>
      </c>
    </row>
    <row r="593" spans="1:2" x14ac:dyDescent="0.35">
      <c r="A593" s="2">
        <v>590</v>
      </c>
      <c r="B593" s="7">
        <v>3.22</v>
      </c>
    </row>
    <row r="594" spans="1:2" x14ac:dyDescent="0.35">
      <c r="A594" s="2">
        <v>591</v>
      </c>
      <c r="B594" s="7">
        <v>3.78</v>
      </c>
    </row>
    <row r="595" spans="1:2" x14ac:dyDescent="0.35">
      <c r="A595" s="2">
        <v>592</v>
      </c>
      <c r="B595" s="7">
        <v>3.48</v>
      </c>
    </row>
    <row r="596" spans="1:2" x14ac:dyDescent="0.35">
      <c r="A596" s="2">
        <v>593</v>
      </c>
      <c r="B596" s="7">
        <v>3.03</v>
      </c>
    </row>
    <row r="597" spans="1:2" x14ac:dyDescent="0.35">
      <c r="A597" s="2">
        <v>594</v>
      </c>
      <c r="B597" s="7">
        <v>3.72</v>
      </c>
    </row>
    <row r="598" spans="1:2" x14ac:dyDescent="0.35">
      <c r="A598" s="2">
        <v>595</v>
      </c>
      <c r="B598" s="7">
        <v>3.18</v>
      </c>
    </row>
    <row r="599" spans="1:2" x14ac:dyDescent="0.35">
      <c r="A599" s="2">
        <v>596</v>
      </c>
      <c r="B599" s="7">
        <v>3.51</v>
      </c>
    </row>
    <row r="600" spans="1:2" x14ac:dyDescent="0.35">
      <c r="A600" s="2">
        <v>597</v>
      </c>
      <c r="B600" s="7">
        <v>3.19</v>
      </c>
    </row>
    <row r="601" spans="1:2" x14ac:dyDescent="0.35">
      <c r="A601" s="2">
        <v>598</v>
      </c>
      <c r="B601" s="7">
        <v>3.2</v>
      </c>
    </row>
    <row r="602" spans="1:2" x14ac:dyDescent="0.35">
      <c r="A602" s="2">
        <v>599</v>
      </c>
      <c r="B602" s="7">
        <v>3.4</v>
      </c>
    </row>
    <row r="603" spans="1:2" x14ac:dyDescent="0.35">
      <c r="A603" s="2">
        <v>600</v>
      </c>
      <c r="B603" s="7">
        <v>5</v>
      </c>
    </row>
    <row r="604" spans="1:2" x14ac:dyDescent="0.35">
      <c r="A604" s="2">
        <v>601</v>
      </c>
      <c r="B604" s="7">
        <v>3</v>
      </c>
    </row>
    <row r="605" spans="1:2" x14ac:dyDescent="0.35">
      <c r="A605" s="2">
        <v>602</v>
      </c>
      <c r="B605" s="7">
        <v>4.28</v>
      </c>
    </row>
    <row r="606" spans="1:2" x14ac:dyDescent="0.35">
      <c r="A606" s="2">
        <v>603</v>
      </c>
      <c r="B606" s="7">
        <v>3.28</v>
      </c>
    </row>
    <row r="607" spans="1:2" x14ac:dyDescent="0.35">
      <c r="A607" s="2">
        <v>604</v>
      </c>
      <c r="B607" s="7">
        <v>4.84</v>
      </c>
    </row>
    <row r="608" spans="1:2" x14ac:dyDescent="0.35">
      <c r="A608" s="2">
        <v>605</v>
      </c>
      <c r="B608" s="7">
        <v>3.19</v>
      </c>
    </row>
    <row r="609" spans="1:2" x14ac:dyDescent="0.35">
      <c r="A609" s="2">
        <v>606</v>
      </c>
      <c r="B609" s="7">
        <v>4.91</v>
      </c>
    </row>
    <row r="610" spans="1:2" x14ac:dyDescent="0.35">
      <c r="A610" s="2">
        <v>607</v>
      </c>
      <c r="B610" s="7">
        <v>4.22</v>
      </c>
    </row>
    <row r="611" spans="1:2" x14ac:dyDescent="0.35">
      <c r="A611" s="2">
        <v>608</v>
      </c>
      <c r="B611" s="7">
        <v>3</v>
      </c>
    </row>
    <row r="612" spans="1:2" x14ac:dyDescent="0.35">
      <c r="A612" s="2">
        <v>609</v>
      </c>
      <c r="B612" s="7">
        <v>4.79</v>
      </c>
    </row>
    <row r="613" spans="1:2" x14ac:dyDescent="0.35">
      <c r="A613" s="2">
        <v>610</v>
      </c>
      <c r="B613" s="7">
        <v>4.04</v>
      </c>
    </row>
    <row r="614" spans="1:2" x14ac:dyDescent="0.35">
      <c r="A614" s="2">
        <v>611</v>
      </c>
      <c r="B614" s="7">
        <v>3.53</v>
      </c>
    </row>
    <row r="615" spans="1:2" x14ac:dyDescent="0.35">
      <c r="A615" s="2">
        <v>612</v>
      </c>
      <c r="B615" s="7">
        <v>4.53</v>
      </c>
    </row>
    <row r="616" spans="1:2" x14ac:dyDescent="0.35">
      <c r="A616" s="2">
        <v>613</v>
      </c>
      <c r="B616" s="7">
        <v>4.8499999999999996</v>
      </c>
    </row>
    <row r="617" spans="1:2" x14ac:dyDescent="0.35">
      <c r="A617" s="2">
        <v>614</v>
      </c>
      <c r="B617" s="7">
        <v>3.97</v>
      </c>
    </row>
    <row r="618" spans="1:2" x14ac:dyDescent="0.35">
      <c r="A618" s="2">
        <v>615</v>
      </c>
      <c r="B618" s="7">
        <v>3.63</v>
      </c>
    </row>
    <row r="619" spans="1:2" x14ac:dyDescent="0.35">
      <c r="A619" s="2">
        <v>616</v>
      </c>
      <c r="B619" s="7">
        <v>4.58</v>
      </c>
    </row>
    <row r="620" spans="1:2" x14ac:dyDescent="0.35">
      <c r="A620" s="2">
        <v>617</v>
      </c>
      <c r="B620" s="7">
        <v>4.3600000000000003</v>
      </c>
    </row>
    <row r="621" spans="1:2" x14ac:dyDescent="0.35">
      <c r="A621" s="2">
        <v>618</v>
      </c>
      <c r="B621" s="7">
        <v>4.78</v>
      </c>
    </row>
    <row r="622" spans="1:2" x14ac:dyDescent="0.35">
      <c r="A622" s="2">
        <v>619</v>
      </c>
      <c r="B622" s="7">
        <v>4.3899999999999997</v>
      </c>
    </row>
    <row r="623" spans="1:2" x14ac:dyDescent="0.35">
      <c r="A623" s="2">
        <v>620</v>
      </c>
      <c r="B623" s="7">
        <v>3.49</v>
      </c>
    </row>
    <row r="624" spans="1:2" x14ac:dyDescent="0.35">
      <c r="A624" s="2">
        <v>621</v>
      </c>
      <c r="B624" s="7">
        <v>4.8600000000000003</v>
      </c>
    </row>
    <row r="625" spans="1:2" x14ac:dyDescent="0.35">
      <c r="A625" s="2">
        <v>622</v>
      </c>
      <c r="B625" s="7">
        <v>3.21</v>
      </c>
    </row>
    <row r="626" spans="1:2" x14ac:dyDescent="0.35">
      <c r="A626" s="2">
        <v>623</v>
      </c>
      <c r="B626" s="7">
        <v>3.54</v>
      </c>
    </row>
    <row r="627" spans="1:2" x14ac:dyDescent="0.35">
      <c r="A627" s="2">
        <v>624</v>
      </c>
      <c r="B627" s="7">
        <v>4.04</v>
      </c>
    </row>
    <row r="628" spans="1:2" x14ac:dyDescent="0.35">
      <c r="A628" s="2">
        <v>625</v>
      </c>
      <c r="B628" s="7">
        <v>4.13</v>
      </c>
    </row>
    <row r="629" spans="1:2" x14ac:dyDescent="0.35">
      <c r="A629" s="2">
        <v>626</v>
      </c>
      <c r="B629" s="7">
        <v>3.03</v>
      </c>
    </row>
    <row r="630" spans="1:2" x14ac:dyDescent="0.35">
      <c r="A630" s="2">
        <v>627</v>
      </c>
      <c r="B630" s="7">
        <v>4.5599999999999996</v>
      </c>
    </row>
    <row r="631" spans="1:2" x14ac:dyDescent="0.35">
      <c r="A631" s="2">
        <v>628</v>
      </c>
      <c r="B631" s="7">
        <v>3.72</v>
      </c>
    </row>
    <row r="632" spans="1:2" x14ac:dyDescent="0.35">
      <c r="A632" s="2">
        <v>629</v>
      </c>
      <c r="B632" s="7">
        <v>3.81</v>
      </c>
    </row>
    <row r="633" spans="1:2" x14ac:dyDescent="0.35">
      <c r="A633" s="2">
        <v>630</v>
      </c>
      <c r="B633" s="7">
        <v>4.62</v>
      </c>
    </row>
    <row r="634" spans="1:2" x14ac:dyDescent="0.35">
      <c r="A634" s="2">
        <v>631</v>
      </c>
      <c r="B634" s="7">
        <v>3.76</v>
      </c>
    </row>
    <row r="635" spans="1:2" x14ac:dyDescent="0.35">
      <c r="A635" s="2">
        <v>632</v>
      </c>
      <c r="B635" s="7">
        <v>3.09</v>
      </c>
    </row>
    <row r="636" spans="1:2" x14ac:dyDescent="0.35">
      <c r="A636" s="2">
        <v>633</v>
      </c>
      <c r="B636" s="7">
        <v>3.35</v>
      </c>
    </row>
    <row r="637" spans="1:2" x14ac:dyDescent="0.35">
      <c r="A637" s="2">
        <v>634</v>
      </c>
      <c r="B637" s="7">
        <v>4.91</v>
      </c>
    </row>
    <row r="638" spans="1:2" x14ac:dyDescent="0.35">
      <c r="A638" s="2">
        <v>635</v>
      </c>
      <c r="B638" s="7">
        <v>3.14</v>
      </c>
    </row>
    <row r="639" spans="1:2" x14ac:dyDescent="0.35">
      <c r="A639" s="2">
        <v>636</v>
      </c>
      <c r="B639" s="7">
        <v>3.71</v>
      </c>
    </row>
    <row r="640" spans="1:2" x14ac:dyDescent="0.35">
      <c r="A640" s="2">
        <v>637</v>
      </c>
      <c r="B640" s="7">
        <v>4.01</v>
      </c>
    </row>
    <row r="641" spans="1:2" x14ac:dyDescent="0.35">
      <c r="A641" s="2">
        <v>638</v>
      </c>
      <c r="B641" s="7">
        <v>3.99</v>
      </c>
    </row>
    <row r="642" spans="1:2" x14ac:dyDescent="0.35">
      <c r="A642" s="2">
        <v>639</v>
      </c>
      <c r="B642" s="7">
        <v>3.01</v>
      </c>
    </row>
    <row r="643" spans="1:2" x14ac:dyDescent="0.35">
      <c r="A643" s="2">
        <v>640</v>
      </c>
      <c r="B643" s="7">
        <v>4</v>
      </c>
    </row>
    <row r="644" spans="1:2" x14ac:dyDescent="0.35">
      <c r="A644" s="2">
        <v>641</v>
      </c>
      <c r="B644" s="7">
        <v>3.77</v>
      </c>
    </row>
    <row r="645" spans="1:2" x14ac:dyDescent="0.35">
      <c r="A645" s="2">
        <v>642</v>
      </c>
      <c r="B645" s="7">
        <v>4.9400000000000004</v>
      </c>
    </row>
    <row r="646" spans="1:2" x14ac:dyDescent="0.35">
      <c r="A646" s="2">
        <v>643</v>
      </c>
      <c r="B646" s="7">
        <v>3.32</v>
      </c>
    </row>
    <row r="647" spans="1:2" x14ac:dyDescent="0.35">
      <c r="A647" s="2">
        <v>644</v>
      </c>
      <c r="B647" s="7">
        <v>3.71</v>
      </c>
    </row>
    <row r="648" spans="1:2" x14ac:dyDescent="0.35">
      <c r="A648" s="2">
        <v>645</v>
      </c>
      <c r="B648" s="7">
        <v>3.84</v>
      </c>
    </row>
    <row r="649" spans="1:2" x14ac:dyDescent="0.35">
      <c r="A649" s="2">
        <v>646</v>
      </c>
      <c r="B649" s="7">
        <v>3.78</v>
      </c>
    </row>
    <row r="650" spans="1:2" x14ac:dyDescent="0.35">
      <c r="A650" s="2">
        <v>647</v>
      </c>
      <c r="B650" s="7">
        <v>4.33</v>
      </c>
    </row>
    <row r="651" spans="1:2" x14ac:dyDescent="0.35">
      <c r="A651" s="2">
        <v>648</v>
      </c>
      <c r="B651" s="7">
        <v>3.43</v>
      </c>
    </row>
    <row r="652" spans="1:2" x14ac:dyDescent="0.35">
      <c r="A652" s="2">
        <v>649</v>
      </c>
      <c r="B652" s="7">
        <v>3.44</v>
      </c>
    </row>
    <row r="653" spans="1:2" x14ac:dyDescent="0.35">
      <c r="A653" s="2">
        <v>650</v>
      </c>
      <c r="B653" s="7">
        <v>4.46</v>
      </c>
    </row>
    <row r="654" spans="1:2" x14ac:dyDescent="0.35">
      <c r="A654" s="2">
        <v>651</v>
      </c>
      <c r="B654" s="7">
        <v>4</v>
      </c>
    </row>
    <row r="655" spans="1:2" x14ac:dyDescent="0.35">
      <c r="A655" s="2">
        <v>652</v>
      </c>
      <c r="B655" s="7">
        <v>3.83</v>
      </c>
    </row>
    <row r="656" spans="1:2" x14ac:dyDescent="0.35">
      <c r="A656" s="2">
        <v>653</v>
      </c>
      <c r="B656" s="7">
        <v>3.34</v>
      </c>
    </row>
    <row r="657" spans="1:2" x14ac:dyDescent="0.35">
      <c r="A657" s="2">
        <v>654</v>
      </c>
      <c r="B657" s="7">
        <v>3.38</v>
      </c>
    </row>
    <row r="658" spans="1:2" x14ac:dyDescent="0.35">
      <c r="A658" s="2">
        <v>655</v>
      </c>
      <c r="B658" s="7">
        <v>3.02</v>
      </c>
    </row>
    <row r="659" spans="1:2" x14ac:dyDescent="0.35">
      <c r="A659" s="2">
        <v>656</v>
      </c>
      <c r="B659" s="7">
        <v>3.18</v>
      </c>
    </row>
    <row r="660" spans="1:2" x14ac:dyDescent="0.35">
      <c r="A660" s="2">
        <v>657</v>
      </c>
      <c r="B660" s="7">
        <v>4.1100000000000003</v>
      </c>
    </row>
    <row r="661" spans="1:2" x14ac:dyDescent="0.35">
      <c r="A661" s="2">
        <v>658</v>
      </c>
      <c r="B661" s="7">
        <v>4.78</v>
      </c>
    </row>
    <row r="662" spans="1:2" x14ac:dyDescent="0.35">
      <c r="A662" s="2">
        <v>659</v>
      </c>
      <c r="B662" s="7">
        <v>3.57</v>
      </c>
    </row>
    <row r="663" spans="1:2" x14ac:dyDescent="0.35">
      <c r="A663" s="2">
        <v>660</v>
      </c>
      <c r="B663" s="7">
        <v>3.66</v>
      </c>
    </row>
    <row r="664" spans="1:2" x14ac:dyDescent="0.35">
      <c r="A664" s="2">
        <v>661</v>
      </c>
      <c r="B664" s="7">
        <v>3.23</v>
      </c>
    </row>
    <row r="665" spans="1:2" x14ac:dyDescent="0.35">
      <c r="A665" s="2">
        <v>662</v>
      </c>
      <c r="B665" s="7">
        <v>3.78</v>
      </c>
    </row>
    <row r="666" spans="1:2" x14ac:dyDescent="0.35">
      <c r="A666" s="2">
        <v>663</v>
      </c>
      <c r="B666" s="7">
        <v>3.07</v>
      </c>
    </row>
    <row r="667" spans="1:2" x14ac:dyDescent="0.35">
      <c r="A667" s="2">
        <v>664</v>
      </c>
      <c r="B667" s="7">
        <v>4.84</v>
      </c>
    </row>
    <row r="668" spans="1:2" x14ac:dyDescent="0.35">
      <c r="A668" s="2">
        <v>665</v>
      </c>
      <c r="B668" s="7">
        <v>4.3499999999999996</v>
      </c>
    </row>
    <row r="669" spans="1:2" x14ac:dyDescent="0.35">
      <c r="A669" s="2">
        <v>666</v>
      </c>
      <c r="B669" s="7">
        <v>4.9800000000000004</v>
      </c>
    </row>
    <row r="670" spans="1:2" x14ac:dyDescent="0.35">
      <c r="A670" s="2">
        <v>667</v>
      </c>
      <c r="B670" s="7">
        <v>4.7699999999999996</v>
      </c>
    </row>
    <row r="671" spans="1:2" x14ac:dyDescent="0.35">
      <c r="A671" s="2">
        <v>668</v>
      </c>
      <c r="B671" s="7">
        <v>3.95</v>
      </c>
    </row>
    <row r="672" spans="1:2" x14ac:dyDescent="0.35">
      <c r="A672" s="2">
        <v>669</v>
      </c>
      <c r="B672" s="7">
        <v>4.04</v>
      </c>
    </row>
    <row r="673" spans="1:2" x14ac:dyDescent="0.35">
      <c r="A673" s="2">
        <v>670</v>
      </c>
      <c r="B673" s="7">
        <v>3.38</v>
      </c>
    </row>
    <row r="674" spans="1:2" x14ac:dyDescent="0.35">
      <c r="A674" s="2">
        <v>671</v>
      </c>
      <c r="B674" s="7">
        <v>3.92</v>
      </c>
    </row>
    <row r="675" spans="1:2" x14ac:dyDescent="0.35">
      <c r="A675" s="2">
        <v>672</v>
      </c>
      <c r="B675" s="7">
        <v>4.8099999999999996</v>
      </c>
    </row>
    <row r="676" spans="1:2" x14ac:dyDescent="0.35">
      <c r="A676" s="2">
        <v>673</v>
      </c>
      <c r="B676" s="7">
        <v>3.1</v>
      </c>
    </row>
    <row r="677" spans="1:2" x14ac:dyDescent="0.35">
      <c r="A677" s="2">
        <v>674</v>
      </c>
      <c r="B677" s="7">
        <v>4.7300000000000004</v>
      </c>
    </row>
    <row r="678" spans="1:2" x14ac:dyDescent="0.35">
      <c r="A678" s="2">
        <v>675</v>
      </c>
      <c r="B678" s="7">
        <v>3.68</v>
      </c>
    </row>
    <row r="679" spans="1:2" x14ac:dyDescent="0.35">
      <c r="A679" s="2">
        <v>676</v>
      </c>
      <c r="B679" s="7">
        <v>4.8</v>
      </c>
    </row>
    <row r="680" spans="1:2" x14ac:dyDescent="0.35">
      <c r="A680" s="2">
        <v>677</v>
      </c>
      <c r="B680" s="7">
        <v>4.88</v>
      </c>
    </row>
    <row r="681" spans="1:2" x14ac:dyDescent="0.35">
      <c r="A681" s="2">
        <v>678</v>
      </c>
      <c r="B681" s="7">
        <v>4.34</v>
      </c>
    </row>
    <row r="682" spans="1:2" x14ac:dyDescent="0.35">
      <c r="A682" s="2">
        <v>679</v>
      </c>
      <c r="B682" s="7">
        <v>4.33</v>
      </c>
    </row>
    <row r="683" spans="1:2" x14ac:dyDescent="0.35">
      <c r="A683" s="2">
        <v>680</v>
      </c>
      <c r="B683" s="7">
        <v>3.91</v>
      </c>
    </row>
    <row r="684" spans="1:2" x14ac:dyDescent="0.35">
      <c r="A684" s="2">
        <v>681</v>
      </c>
      <c r="B684" s="7">
        <v>4.67</v>
      </c>
    </row>
    <row r="685" spans="1:2" x14ac:dyDescent="0.35">
      <c r="A685" s="2">
        <v>682</v>
      </c>
      <c r="B685" s="7">
        <v>4.92</v>
      </c>
    </row>
    <row r="686" spans="1:2" x14ac:dyDescent="0.35">
      <c r="A686" s="2">
        <v>683</v>
      </c>
      <c r="B686" s="7">
        <v>4.55</v>
      </c>
    </row>
    <row r="687" spans="1:2" x14ac:dyDescent="0.35">
      <c r="A687" s="2">
        <v>684</v>
      </c>
      <c r="B687" s="7">
        <v>4.24</v>
      </c>
    </row>
    <row r="688" spans="1:2" x14ac:dyDescent="0.35">
      <c r="A688" s="2">
        <v>685</v>
      </c>
      <c r="B688" s="7">
        <v>4.21</v>
      </c>
    </row>
    <row r="689" spans="1:2" x14ac:dyDescent="0.35">
      <c r="A689" s="2">
        <v>686</v>
      </c>
      <c r="B689" s="7">
        <v>4.7</v>
      </c>
    </row>
    <row r="690" spans="1:2" x14ac:dyDescent="0.35">
      <c r="A690" s="2">
        <v>687</v>
      </c>
      <c r="B690" s="7">
        <v>4.08</v>
      </c>
    </row>
    <row r="691" spans="1:2" x14ac:dyDescent="0.35">
      <c r="A691" s="2">
        <v>688</v>
      </c>
      <c r="B691" s="7">
        <v>4.6100000000000003</v>
      </c>
    </row>
    <row r="692" spans="1:2" x14ac:dyDescent="0.35">
      <c r="A692" s="2">
        <v>689</v>
      </c>
      <c r="B692" s="7">
        <v>4.0199999999999996</v>
      </c>
    </row>
    <row r="693" spans="1:2" x14ac:dyDescent="0.35">
      <c r="A693" s="2">
        <v>690</v>
      </c>
      <c r="B693" s="7">
        <v>3.12</v>
      </c>
    </row>
    <row r="694" spans="1:2" x14ac:dyDescent="0.35">
      <c r="A694" s="2">
        <v>691</v>
      </c>
      <c r="B694" s="7">
        <v>3.77</v>
      </c>
    </row>
    <row r="695" spans="1:2" x14ac:dyDescent="0.35">
      <c r="A695" s="2">
        <v>692</v>
      </c>
      <c r="B695" s="7">
        <v>3.89</v>
      </c>
    </row>
    <row r="696" spans="1:2" x14ac:dyDescent="0.35">
      <c r="A696" s="2">
        <v>693</v>
      </c>
      <c r="B696" s="7">
        <v>3.28</v>
      </c>
    </row>
    <row r="697" spans="1:2" x14ac:dyDescent="0.35">
      <c r="A697" s="2">
        <v>694</v>
      </c>
      <c r="B697" s="7">
        <v>3.2</v>
      </c>
    </row>
    <row r="698" spans="1:2" x14ac:dyDescent="0.35">
      <c r="A698" s="2">
        <v>695</v>
      </c>
      <c r="B698" s="7">
        <v>4.07</v>
      </c>
    </row>
    <row r="699" spans="1:2" x14ac:dyDescent="0.35">
      <c r="A699" s="2">
        <v>696</v>
      </c>
      <c r="B699" s="7">
        <v>3.17</v>
      </c>
    </row>
    <row r="700" spans="1:2" x14ac:dyDescent="0.35">
      <c r="A700" s="2">
        <v>697</v>
      </c>
      <c r="B700" s="7">
        <v>3.61</v>
      </c>
    </row>
    <row r="701" spans="1:2" x14ac:dyDescent="0.35">
      <c r="A701" s="2">
        <v>698</v>
      </c>
      <c r="B701" s="7">
        <v>4.49</v>
      </c>
    </row>
    <row r="702" spans="1:2" x14ac:dyDescent="0.35">
      <c r="A702" s="2">
        <v>699</v>
      </c>
      <c r="B702" s="7">
        <v>4.93</v>
      </c>
    </row>
    <row r="703" spans="1:2" x14ac:dyDescent="0.35">
      <c r="A703" s="2">
        <v>700</v>
      </c>
      <c r="B703" s="7">
        <v>4.4400000000000004</v>
      </c>
    </row>
    <row r="704" spans="1:2" x14ac:dyDescent="0.35">
      <c r="A704" s="2">
        <v>701</v>
      </c>
      <c r="B704" s="7">
        <v>4.99</v>
      </c>
    </row>
    <row r="705" spans="1:2" x14ac:dyDescent="0.35">
      <c r="A705" s="2">
        <v>702</v>
      </c>
      <c r="B705" s="7">
        <v>4.4000000000000004</v>
      </c>
    </row>
    <row r="706" spans="1:2" x14ac:dyDescent="0.35">
      <c r="A706" s="2">
        <v>703</v>
      </c>
      <c r="B706" s="7">
        <v>3.59</v>
      </c>
    </row>
    <row r="707" spans="1:2" x14ac:dyDescent="0.35">
      <c r="A707" s="2">
        <v>704</v>
      </c>
      <c r="B707" s="7">
        <v>4.34</v>
      </c>
    </row>
    <row r="708" spans="1:2" x14ac:dyDescent="0.35">
      <c r="A708" s="2">
        <v>705</v>
      </c>
      <c r="B708" s="7">
        <v>4.4000000000000004</v>
      </c>
    </row>
    <row r="709" spans="1:2" x14ac:dyDescent="0.35">
      <c r="A709" s="2">
        <v>706</v>
      </c>
      <c r="B709" s="7">
        <v>3.74</v>
      </c>
    </row>
    <row r="710" spans="1:2" x14ac:dyDescent="0.35">
      <c r="A710" s="2">
        <v>707</v>
      </c>
      <c r="B710" s="7">
        <v>3.04</v>
      </c>
    </row>
    <row r="711" spans="1:2" x14ac:dyDescent="0.35">
      <c r="A711" s="2">
        <v>708</v>
      </c>
      <c r="B711" s="7">
        <v>4.41</v>
      </c>
    </row>
    <row r="712" spans="1:2" x14ac:dyDescent="0.35">
      <c r="A712" s="2">
        <v>709</v>
      </c>
      <c r="B712" s="7">
        <v>3.04</v>
      </c>
    </row>
    <row r="713" spans="1:2" x14ac:dyDescent="0.35">
      <c r="A713" s="2">
        <v>710</v>
      </c>
      <c r="B713" s="7">
        <v>4.26</v>
      </c>
    </row>
    <row r="714" spans="1:2" x14ac:dyDescent="0.35">
      <c r="A714" s="2">
        <v>711</v>
      </c>
      <c r="B714" s="7">
        <v>3.33</v>
      </c>
    </row>
    <row r="715" spans="1:2" x14ac:dyDescent="0.35">
      <c r="A715" s="2">
        <v>712</v>
      </c>
      <c r="B715" s="7">
        <v>4.13</v>
      </c>
    </row>
    <row r="716" spans="1:2" x14ac:dyDescent="0.35">
      <c r="A716" s="2">
        <v>713</v>
      </c>
      <c r="B716" s="7">
        <v>4.01</v>
      </c>
    </row>
    <row r="717" spans="1:2" x14ac:dyDescent="0.35">
      <c r="A717" s="2">
        <v>714</v>
      </c>
      <c r="B717" s="7">
        <v>3.03</v>
      </c>
    </row>
    <row r="718" spans="1:2" x14ac:dyDescent="0.35">
      <c r="A718" s="2">
        <v>715</v>
      </c>
      <c r="B718" s="7">
        <v>3.73</v>
      </c>
    </row>
    <row r="719" spans="1:2" x14ac:dyDescent="0.35">
      <c r="A719" s="2">
        <v>716</v>
      </c>
      <c r="B719" s="7">
        <v>4.2</v>
      </c>
    </row>
    <row r="720" spans="1:2" x14ac:dyDescent="0.35">
      <c r="A720" s="2">
        <v>717</v>
      </c>
      <c r="B720" s="7">
        <v>4.7</v>
      </c>
    </row>
    <row r="721" spans="1:2" x14ac:dyDescent="0.35">
      <c r="A721" s="2">
        <v>718</v>
      </c>
      <c r="B721" s="7">
        <v>4.78</v>
      </c>
    </row>
    <row r="722" spans="1:2" x14ac:dyDescent="0.35">
      <c r="A722" s="2">
        <v>719</v>
      </c>
      <c r="B722" s="7">
        <v>3.97</v>
      </c>
    </row>
    <row r="723" spans="1:2" x14ac:dyDescent="0.35">
      <c r="A723" s="2">
        <v>720</v>
      </c>
      <c r="B723" s="7">
        <v>4.46</v>
      </c>
    </row>
    <row r="724" spans="1:2" x14ac:dyDescent="0.35">
      <c r="A724" s="2">
        <v>721</v>
      </c>
      <c r="B724" s="7">
        <v>3.63</v>
      </c>
    </row>
    <row r="725" spans="1:2" x14ac:dyDescent="0.35">
      <c r="A725" s="2">
        <v>722</v>
      </c>
      <c r="B725" s="7">
        <v>3.68</v>
      </c>
    </row>
    <row r="726" spans="1:2" x14ac:dyDescent="0.35">
      <c r="A726" s="2">
        <v>723</v>
      </c>
      <c r="B726" s="7">
        <v>3.39</v>
      </c>
    </row>
    <row r="727" spans="1:2" x14ac:dyDescent="0.35">
      <c r="A727" s="2">
        <v>724</v>
      </c>
      <c r="B727" s="7">
        <v>4.12</v>
      </c>
    </row>
    <row r="728" spans="1:2" x14ac:dyDescent="0.35">
      <c r="A728" s="2">
        <v>725</v>
      </c>
      <c r="B728" s="7">
        <v>3.63</v>
      </c>
    </row>
    <row r="729" spans="1:2" x14ac:dyDescent="0.35">
      <c r="A729" s="2">
        <v>726</v>
      </c>
      <c r="B729" s="7">
        <v>3.17</v>
      </c>
    </row>
    <row r="730" spans="1:2" x14ac:dyDescent="0.35">
      <c r="A730" s="2">
        <v>727</v>
      </c>
      <c r="B730" s="7">
        <v>4.37</v>
      </c>
    </row>
    <row r="731" spans="1:2" x14ac:dyDescent="0.35">
      <c r="A731" s="2">
        <v>728</v>
      </c>
      <c r="B731" s="7">
        <v>4.42</v>
      </c>
    </row>
    <row r="732" spans="1:2" x14ac:dyDescent="0.35">
      <c r="A732" s="2">
        <v>729</v>
      </c>
      <c r="B732" s="7">
        <v>3.72</v>
      </c>
    </row>
    <row r="733" spans="1:2" x14ac:dyDescent="0.35">
      <c r="A733" s="2">
        <v>730</v>
      </c>
      <c r="B733" s="7">
        <v>3.15</v>
      </c>
    </row>
    <row r="734" spans="1:2" x14ac:dyDescent="0.35">
      <c r="A734" s="2">
        <v>731</v>
      </c>
      <c r="B734" s="7">
        <v>3.85</v>
      </c>
    </row>
    <row r="735" spans="1:2" x14ac:dyDescent="0.35">
      <c r="A735" s="2">
        <v>732</v>
      </c>
      <c r="B735" s="7">
        <v>3.88</v>
      </c>
    </row>
    <row r="736" spans="1:2" x14ac:dyDescent="0.35">
      <c r="A736" s="2">
        <v>733</v>
      </c>
      <c r="B736" s="7">
        <v>4.34</v>
      </c>
    </row>
    <row r="737" spans="1:2" x14ac:dyDescent="0.35">
      <c r="A737" s="2">
        <v>734</v>
      </c>
      <c r="B737" s="7">
        <v>3.63</v>
      </c>
    </row>
    <row r="738" spans="1:2" x14ac:dyDescent="0.35">
      <c r="A738" s="2">
        <v>735</v>
      </c>
      <c r="B738" s="7">
        <v>4.37</v>
      </c>
    </row>
    <row r="739" spans="1:2" x14ac:dyDescent="0.35">
      <c r="A739" s="2">
        <v>736</v>
      </c>
      <c r="B739" s="7">
        <v>4.74</v>
      </c>
    </row>
    <row r="740" spans="1:2" x14ac:dyDescent="0.35">
      <c r="A740" s="2">
        <v>737</v>
      </c>
      <c r="B740" s="7">
        <v>3.47</v>
      </c>
    </row>
    <row r="741" spans="1:2" x14ac:dyDescent="0.35">
      <c r="A741" s="2">
        <v>738</v>
      </c>
      <c r="B741" s="7">
        <v>4.96</v>
      </c>
    </row>
    <row r="742" spans="1:2" x14ac:dyDescent="0.35">
      <c r="A742" s="2">
        <v>739</v>
      </c>
      <c r="B742" s="7">
        <v>3.77</v>
      </c>
    </row>
    <row r="743" spans="1:2" x14ac:dyDescent="0.35">
      <c r="A743" s="2">
        <v>740</v>
      </c>
      <c r="B743" s="7">
        <v>3.53</v>
      </c>
    </row>
    <row r="744" spans="1:2" x14ac:dyDescent="0.35">
      <c r="A744" s="2">
        <v>741</v>
      </c>
      <c r="B744" s="7">
        <v>3.84</v>
      </c>
    </row>
    <row r="745" spans="1:2" x14ac:dyDescent="0.35">
      <c r="A745" s="2">
        <v>742</v>
      </c>
      <c r="B745" s="7">
        <v>3.19</v>
      </c>
    </row>
    <row r="746" spans="1:2" x14ac:dyDescent="0.35">
      <c r="A746" s="2">
        <v>743</v>
      </c>
      <c r="B746" s="7">
        <v>3.25</v>
      </c>
    </row>
    <row r="747" spans="1:2" x14ac:dyDescent="0.35">
      <c r="A747" s="2">
        <v>744</v>
      </c>
      <c r="B747" s="7">
        <v>3.83</v>
      </c>
    </row>
    <row r="748" spans="1:2" x14ac:dyDescent="0.35">
      <c r="A748" s="2">
        <v>745</v>
      </c>
      <c r="B748" s="7">
        <v>4.5199999999999996</v>
      </c>
    </row>
    <row r="749" spans="1:2" x14ac:dyDescent="0.35">
      <c r="A749" s="2">
        <v>746</v>
      </c>
      <c r="B749" s="7">
        <v>4.8</v>
      </c>
    </row>
    <row r="750" spans="1:2" x14ac:dyDescent="0.35">
      <c r="A750" s="2">
        <v>747</v>
      </c>
      <c r="B750" s="7">
        <v>4.33</v>
      </c>
    </row>
    <row r="751" spans="1:2" x14ac:dyDescent="0.35">
      <c r="A751" s="2">
        <v>748</v>
      </c>
      <c r="B751" s="7">
        <v>3.21</v>
      </c>
    </row>
    <row r="752" spans="1:2" x14ac:dyDescent="0.35">
      <c r="A752" s="2">
        <v>749</v>
      </c>
      <c r="B752" s="7">
        <v>4.34</v>
      </c>
    </row>
    <row r="753" spans="1:2" x14ac:dyDescent="0.35">
      <c r="A753" s="2">
        <v>750</v>
      </c>
      <c r="B753" s="7">
        <v>4.2699999999999996</v>
      </c>
    </row>
    <row r="754" spans="1:2" x14ac:dyDescent="0.35">
      <c r="A754" s="2">
        <v>751</v>
      </c>
      <c r="B754" s="7">
        <v>4.6100000000000003</v>
      </c>
    </row>
    <row r="755" spans="1:2" x14ac:dyDescent="0.35">
      <c r="A755" s="2">
        <v>752</v>
      </c>
      <c r="B755" s="7">
        <v>4.6500000000000004</v>
      </c>
    </row>
    <row r="756" spans="1:2" x14ac:dyDescent="0.35">
      <c r="A756" s="2">
        <v>753</v>
      </c>
      <c r="B756" s="7">
        <v>4.74</v>
      </c>
    </row>
    <row r="757" spans="1:2" x14ac:dyDescent="0.35">
      <c r="A757" s="2">
        <v>754</v>
      </c>
      <c r="B757" s="7">
        <v>3.83</v>
      </c>
    </row>
    <row r="758" spans="1:2" x14ac:dyDescent="0.35">
      <c r="A758" s="2">
        <v>755</v>
      </c>
      <c r="B758" s="7">
        <v>4.4000000000000004</v>
      </c>
    </row>
    <row r="759" spans="1:2" x14ac:dyDescent="0.35">
      <c r="A759" s="2">
        <v>756</v>
      </c>
      <c r="B759" s="7">
        <v>3.54</v>
      </c>
    </row>
    <row r="760" spans="1:2" x14ac:dyDescent="0.35">
      <c r="A760" s="2">
        <v>757</v>
      </c>
      <c r="B760" s="7">
        <v>5</v>
      </c>
    </row>
    <row r="761" spans="1:2" x14ac:dyDescent="0.35">
      <c r="A761" s="2">
        <v>758</v>
      </c>
      <c r="B761" s="7">
        <v>3.35</v>
      </c>
    </row>
    <row r="762" spans="1:2" x14ac:dyDescent="0.35">
      <c r="A762" s="2">
        <v>759</v>
      </c>
      <c r="B762" s="7">
        <v>3.02</v>
      </c>
    </row>
    <row r="763" spans="1:2" x14ac:dyDescent="0.35">
      <c r="A763" s="2">
        <v>760</v>
      </c>
      <c r="B763" s="7">
        <v>3.3</v>
      </c>
    </row>
    <row r="764" spans="1:2" x14ac:dyDescent="0.35">
      <c r="A764" s="2">
        <v>761</v>
      </c>
      <c r="B764" s="7">
        <v>4.55</v>
      </c>
    </row>
    <row r="765" spans="1:2" x14ac:dyDescent="0.35">
      <c r="A765" s="2">
        <v>762</v>
      </c>
      <c r="B765" s="7">
        <v>3.89</v>
      </c>
    </row>
    <row r="766" spans="1:2" x14ac:dyDescent="0.35">
      <c r="A766" s="2">
        <v>763</v>
      </c>
      <c r="B766" s="7">
        <v>3.9</v>
      </c>
    </row>
    <row r="767" spans="1:2" x14ac:dyDescent="0.35">
      <c r="A767" s="2">
        <v>764</v>
      </c>
      <c r="B767" s="7">
        <v>4.91</v>
      </c>
    </row>
    <row r="768" spans="1:2" x14ac:dyDescent="0.35">
      <c r="A768" s="2">
        <v>765</v>
      </c>
      <c r="B768" s="7">
        <v>4.84</v>
      </c>
    </row>
    <row r="769" spans="1:2" x14ac:dyDescent="0.35">
      <c r="A769" s="2">
        <v>766</v>
      </c>
      <c r="B769" s="7">
        <v>3.62</v>
      </c>
    </row>
    <row r="770" spans="1:2" x14ac:dyDescent="0.35">
      <c r="A770" s="2">
        <v>767</v>
      </c>
      <c r="B770" s="7">
        <v>3.42</v>
      </c>
    </row>
    <row r="771" spans="1:2" x14ac:dyDescent="0.35">
      <c r="A771" s="2">
        <v>768</v>
      </c>
      <c r="B771" s="7">
        <v>4.7</v>
      </c>
    </row>
    <row r="772" spans="1:2" x14ac:dyDescent="0.35">
      <c r="A772" s="2">
        <v>769</v>
      </c>
      <c r="B772" s="7">
        <v>4.8099999999999996</v>
      </c>
    </row>
    <row r="773" spans="1:2" x14ac:dyDescent="0.35">
      <c r="A773" s="2">
        <v>770</v>
      </c>
      <c r="B773" s="7">
        <v>4.08</v>
      </c>
    </row>
    <row r="774" spans="1:2" x14ac:dyDescent="0.35">
      <c r="A774" s="2">
        <v>771</v>
      </c>
      <c r="B774" s="7">
        <v>4.26</v>
      </c>
    </row>
    <row r="775" spans="1:2" x14ac:dyDescent="0.35">
      <c r="A775" s="2">
        <v>772</v>
      </c>
      <c r="B775" s="7">
        <v>3.51</v>
      </c>
    </row>
    <row r="776" spans="1:2" x14ac:dyDescent="0.35">
      <c r="A776" s="2">
        <v>773</v>
      </c>
      <c r="B776" s="7">
        <v>4.5999999999999996</v>
      </c>
    </row>
    <row r="777" spans="1:2" x14ac:dyDescent="0.35">
      <c r="A777" s="2">
        <v>774</v>
      </c>
      <c r="B777" s="7">
        <v>4.26</v>
      </c>
    </row>
    <row r="778" spans="1:2" x14ac:dyDescent="0.35">
      <c r="A778" s="2">
        <v>775</v>
      </c>
      <c r="B778" s="7">
        <v>4.01</v>
      </c>
    </row>
    <row r="779" spans="1:2" x14ac:dyDescent="0.35">
      <c r="A779" s="2">
        <v>776</v>
      </c>
      <c r="B779" s="7">
        <v>3.12</v>
      </c>
    </row>
    <row r="780" spans="1:2" x14ac:dyDescent="0.35">
      <c r="A780" s="2">
        <v>777</v>
      </c>
      <c r="B780" s="7">
        <v>4.83</v>
      </c>
    </row>
    <row r="781" spans="1:2" x14ac:dyDescent="0.35">
      <c r="A781" s="2">
        <v>778</v>
      </c>
      <c r="B781" s="7">
        <v>4.2300000000000004</v>
      </c>
    </row>
    <row r="782" spans="1:2" x14ac:dyDescent="0.35">
      <c r="A782" s="2">
        <v>779</v>
      </c>
      <c r="B782" s="7">
        <v>3.39</v>
      </c>
    </row>
    <row r="783" spans="1:2" x14ac:dyDescent="0.35">
      <c r="A783" s="2">
        <v>780</v>
      </c>
      <c r="B783" s="7">
        <v>4.21</v>
      </c>
    </row>
    <row r="784" spans="1:2" x14ac:dyDescent="0.35">
      <c r="A784" s="2">
        <v>781</v>
      </c>
      <c r="B784" s="7">
        <v>4.3499999999999996</v>
      </c>
    </row>
    <row r="785" spans="1:2" x14ac:dyDescent="0.35">
      <c r="A785" s="2">
        <v>782</v>
      </c>
      <c r="B785" s="7">
        <v>4.05</v>
      </c>
    </row>
    <row r="786" spans="1:2" x14ac:dyDescent="0.35">
      <c r="A786" s="2">
        <v>783</v>
      </c>
      <c r="B786" s="7">
        <v>4.4400000000000004</v>
      </c>
    </row>
    <row r="787" spans="1:2" x14ac:dyDescent="0.35">
      <c r="A787" s="2">
        <v>784</v>
      </c>
      <c r="B787" s="7">
        <v>4.16</v>
      </c>
    </row>
    <row r="788" spans="1:2" x14ac:dyDescent="0.35">
      <c r="A788" s="2">
        <v>785</v>
      </c>
      <c r="B788" s="7">
        <v>4.9000000000000004</v>
      </c>
    </row>
    <row r="789" spans="1:2" x14ac:dyDescent="0.35">
      <c r="A789" s="2">
        <v>786</v>
      </c>
      <c r="B789" s="7">
        <v>3.11</v>
      </c>
    </row>
    <row r="790" spans="1:2" x14ac:dyDescent="0.35">
      <c r="A790" s="2">
        <v>787</v>
      </c>
      <c r="B790" s="7">
        <v>3.21</v>
      </c>
    </row>
    <row r="791" spans="1:2" x14ac:dyDescent="0.35">
      <c r="A791" s="2">
        <v>788</v>
      </c>
      <c r="B791" s="7">
        <v>3.35</v>
      </c>
    </row>
    <row r="792" spans="1:2" x14ac:dyDescent="0.35">
      <c r="A792" s="2">
        <v>789</v>
      </c>
      <c r="B792" s="7">
        <v>4.38</v>
      </c>
    </row>
    <row r="793" spans="1:2" x14ac:dyDescent="0.35">
      <c r="A793" s="2">
        <v>790</v>
      </c>
      <c r="B793" s="7">
        <v>4.29</v>
      </c>
    </row>
    <row r="794" spans="1:2" x14ac:dyDescent="0.35">
      <c r="A794" s="2">
        <v>791</v>
      </c>
      <c r="B794" s="7">
        <v>4.78</v>
      </c>
    </row>
    <row r="795" spans="1:2" x14ac:dyDescent="0.35">
      <c r="A795" s="2">
        <v>792</v>
      </c>
      <c r="B795" s="7">
        <v>4.47</v>
      </c>
    </row>
    <row r="796" spans="1:2" x14ac:dyDescent="0.35">
      <c r="A796" s="2">
        <v>793</v>
      </c>
      <c r="B796" s="7">
        <v>4.0199999999999996</v>
      </c>
    </row>
    <row r="797" spans="1:2" x14ac:dyDescent="0.35">
      <c r="A797" s="2">
        <v>794</v>
      </c>
      <c r="B797" s="7">
        <v>4.9800000000000004</v>
      </c>
    </row>
    <row r="798" spans="1:2" x14ac:dyDescent="0.35">
      <c r="A798" s="2">
        <v>795</v>
      </c>
      <c r="B798" s="7">
        <v>3.53</v>
      </c>
    </row>
    <row r="799" spans="1:2" x14ac:dyDescent="0.35">
      <c r="A799" s="2">
        <v>796</v>
      </c>
      <c r="B799" s="7">
        <v>4.67</v>
      </c>
    </row>
    <row r="800" spans="1:2" x14ac:dyDescent="0.35">
      <c r="A800" s="2">
        <v>797</v>
      </c>
      <c r="B800" s="7">
        <v>3.85</v>
      </c>
    </row>
    <row r="801" spans="1:2" x14ac:dyDescent="0.35">
      <c r="A801" s="2">
        <v>798</v>
      </c>
      <c r="B801" s="7">
        <v>4.3</v>
      </c>
    </row>
    <row r="802" spans="1:2" x14ac:dyDescent="0.35">
      <c r="A802" s="2">
        <v>799</v>
      </c>
      <c r="B802" s="7">
        <v>4.45</v>
      </c>
    </row>
    <row r="803" spans="1:2" x14ac:dyDescent="0.35">
      <c r="A803" s="2">
        <v>800</v>
      </c>
      <c r="B803" s="7">
        <v>4.2699999999999996</v>
      </c>
    </row>
    <row r="804" spans="1:2" x14ac:dyDescent="0.35">
      <c r="A804" s="2">
        <v>801</v>
      </c>
      <c r="B804" s="7">
        <v>3.28</v>
      </c>
    </row>
    <row r="805" spans="1:2" x14ac:dyDescent="0.35">
      <c r="A805" s="2">
        <v>802</v>
      </c>
      <c r="B805" s="7">
        <v>3.89</v>
      </c>
    </row>
    <row r="806" spans="1:2" x14ac:dyDescent="0.35">
      <c r="A806" s="2">
        <v>803</v>
      </c>
      <c r="B806" s="7">
        <v>4.12</v>
      </c>
    </row>
    <row r="807" spans="1:2" x14ac:dyDescent="0.35">
      <c r="A807" s="2">
        <v>804</v>
      </c>
      <c r="B807" s="7">
        <v>4.7</v>
      </c>
    </row>
    <row r="808" spans="1:2" x14ac:dyDescent="0.35">
      <c r="A808" s="2">
        <v>805</v>
      </c>
      <c r="B808" s="7">
        <v>3.89</v>
      </c>
    </row>
    <row r="809" spans="1:2" x14ac:dyDescent="0.35">
      <c r="A809" s="2">
        <v>806</v>
      </c>
      <c r="B809" s="7">
        <v>4.84</v>
      </c>
    </row>
    <row r="810" spans="1:2" x14ac:dyDescent="0.35">
      <c r="A810" s="2">
        <v>807</v>
      </c>
      <c r="B810" s="7">
        <v>3.88</v>
      </c>
    </row>
    <row r="811" spans="1:2" x14ac:dyDescent="0.35">
      <c r="A811" s="2">
        <v>808</v>
      </c>
      <c r="B811" s="7">
        <v>4.0999999999999996</v>
      </c>
    </row>
    <row r="812" spans="1:2" x14ac:dyDescent="0.35">
      <c r="A812" s="2">
        <v>809</v>
      </c>
      <c r="B812" s="7">
        <v>4.59</v>
      </c>
    </row>
    <row r="813" spans="1:2" x14ac:dyDescent="0.35">
      <c r="A813" s="2">
        <v>810</v>
      </c>
      <c r="B813" s="7">
        <v>4.17</v>
      </c>
    </row>
    <row r="814" spans="1:2" x14ac:dyDescent="0.35">
      <c r="A814" s="2">
        <v>811</v>
      </c>
      <c r="B814" s="7">
        <v>4.92</v>
      </c>
    </row>
    <row r="815" spans="1:2" x14ac:dyDescent="0.35">
      <c r="A815" s="2">
        <v>812</v>
      </c>
      <c r="B815" s="7">
        <v>4.32</v>
      </c>
    </row>
    <row r="816" spans="1:2" x14ac:dyDescent="0.35">
      <c r="A816" s="2">
        <v>813</v>
      </c>
      <c r="B816" s="7">
        <v>4.05</v>
      </c>
    </row>
    <row r="817" spans="1:2" x14ac:dyDescent="0.35">
      <c r="A817" s="2">
        <v>814</v>
      </c>
      <c r="B817" s="7">
        <v>3.05</v>
      </c>
    </row>
    <row r="818" spans="1:2" x14ac:dyDescent="0.35">
      <c r="A818" s="2">
        <v>815</v>
      </c>
      <c r="B818" s="7">
        <v>3.83</v>
      </c>
    </row>
    <row r="819" spans="1:2" x14ac:dyDescent="0.35">
      <c r="A819" s="2">
        <v>816</v>
      </c>
      <c r="B819" s="7">
        <v>3.6</v>
      </c>
    </row>
    <row r="820" spans="1:2" x14ac:dyDescent="0.35">
      <c r="A820" s="2">
        <v>817</v>
      </c>
      <c r="B820" s="7">
        <v>4.5</v>
      </c>
    </row>
    <row r="821" spans="1:2" x14ac:dyDescent="0.35">
      <c r="A821" s="2">
        <v>818</v>
      </c>
      <c r="B821" s="7">
        <v>3.42</v>
      </c>
    </row>
    <row r="822" spans="1:2" x14ac:dyDescent="0.35">
      <c r="A822" s="2">
        <v>819</v>
      </c>
      <c r="B822" s="7">
        <v>3.41</v>
      </c>
    </row>
    <row r="823" spans="1:2" x14ac:dyDescent="0.35">
      <c r="A823" s="2">
        <v>820</v>
      </c>
      <c r="B823" s="7">
        <v>3.38</v>
      </c>
    </row>
    <row r="824" spans="1:2" x14ac:dyDescent="0.35">
      <c r="A824" s="2">
        <v>821</v>
      </c>
      <c r="B824" s="7">
        <v>3.25</v>
      </c>
    </row>
    <row r="825" spans="1:2" x14ac:dyDescent="0.35">
      <c r="A825" s="2">
        <v>822</v>
      </c>
      <c r="B825" s="7">
        <v>3.62</v>
      </c>
    </row>
    <row r="826" spans="1:2" x14ac:dyDescent="0.35">
      <c r="A826" s="2">
        <v>823</v>
      </c>
      <c r="B826" s="7">
        <v>4.7699999999999996</v>
      </c>
    </row>
    <row r="827" spans="1:2" x14ac:dyDescent="0.35">
      <c r="A827" s="2">
        <v>824</v>
      </c>
      <c r="B827" s="7">
        <v>4.55</v>
      </c>
    </row>
    <row r="828" spans="1:2" x14ac:dyDescent="0.35">
      <c r="A828" s="2">
        <v>825</v>
      </c>
      <c r="B828" s="7">
        <v>4.47</v>
      </c>
    </row>
    <row r="829" spans="1:2" x14ac:dyDescent="0.35">
      <c r="A829" s="2">
        <v>826</v>
      </c>
      <c r="B829" s="7">
        <v>4.59</v>
      </c>
    </row>
    <row r="830" spans="1:2" x14ac:dyDescent="0.35">
      <c r="A830" s="2">
        <v>827</v>
      </c>
      <c r="B830" s="7">
        <v>3.54</v>
      </c>
    </row>
    <row r="831" spans="1:2" x14ac:dyDescent="0.35">
      <c r="A831" s="2">
        <v>828</v>
      </c>
      <c r="B831" s="7">
        <v>4.7699999999999996</v>
      </c>
    </row>
    <row r="832" spans="1:2" x14ac:dyDescent="0.35">
      <c r="A832" s="2">
        <v>829</v>
      </c>
      <c r="B832" s="7">
        <v>3.27</v>
      </c>
    </row>
    <row r="833" spans="1:2" x14ac:dyDescent="0.35">
      <c r="A833" s="2">
        <v>830</v>
      </c>
      <c r="B833" s="7">
        <v>3.67</v>
      </c>
    </row>
    <row r="834" spans="1:2" x14ac:dyDescent="0.35">
      <c r="A834" s="2">
        <v>831</v>
      </c>
      <c r="B834" s="7">
        <v>4.17</v>
      </c>
    </row>
    <row r="835" spans="1:2" x14ac:dyDescent="0.35">
      <c r="A835" s="2">
        <v>832</v>
      </c>
      <c r="B835" s="7">
        <v>3.21</v>
      </c>
    </row>
    <row r="836" spans="1:2" x14ac:dyDescent="0.35">
      <c r="A836" s="2">
        <v>833</v>
      </c>
      <c r="B836" s="7">
        <v>4.46</v>
      </c>
    </row>
    <row r="837" spans="1:2" x14ac:dyDescent="0.35">
      <c r="A837" s="2">
        <v>834</v>
      </c>
      <c r="B837" s="7">
        <v>3.77</v>
      </c>
    </row>
    <row r="838" spans="1:2" x14ac:dyDescent="0.35">
      <c r="A838" s="2">
        <v>835</v>
      </c>
      <c r="B838" s="7">
        <v>4.57</v>
      </c>
    </row>
    <row r="839" spans="1:2" x14ac:dyDescent="0.35">
      <c r="A839" s="2">
        <v>836</v>
      </c>
      <c r="B839" s="7">
        <v>3.99</v>
      </c>
    </row>
    <row r="840" spans="1:2" x14ac:dyDescent="0.35">
      <c r="A840" s="2">
        <v>837</v>
      </c>
      <c r="B840" s="7">
        <v>3.36</v>
      </c>
    </row>
    <row r="841" spans="1:2" x14ac:dyDescent="0.35">
      <c r="A841" s="2">
        <v>838</v>
      </c>
      <c r="B841" s="7">
        <v>4.47</v>
      </c>
    </row>
    <row r="842" spans="1:2" x14ac:dyDescent="0.35">
      <c r="A842" s="2">
        <v>839</v>
      </c>
      <c r="B842" s="7">
        <v>3.5</v>
      </c>
    </row>
    <row r="843" spans="1:2" x14ac:dyDescent="0.35">
      <c r="A843" s="2">
        <v>840</v>
      </c>
      <c r="B843" s="7">
        <v>3.98</v>
      </c>
    </row>
    <row r="844" spans="1:2" x14ac:dyDescent="0.35">
      <c r="A844" s="2">
        <v>841</v>
      </c>
      <c r="B844" s="7">
        <v>3.15</v>
      </c>
    </row>
    <row r="845" spans="1:2" x14ac:dyDescent="0.35">
      <c r="A845" s="2">
        <v>842</v>
      </c>
      <c r="B845" s="7">
        <v>4.24</v>
      </c>
    </row>
    <row r="846" spans="1:2" x14ac:dyDescent="0.35">
      <c r="A846" s="2">
        <v>843</v>
      </c>
      <c r="B846" s="7">
        <v>4.33</v>
      </c>
    </row>
    <row r="847" spans="1:2" x14ac:dyDescent="0.35">
      <c r="A847" s="2">
        <v>844</v>
      </c>
      <c r="B847" s="7">
        <v>3.76</v>
      </c>
    </row>
    <row r="848" spans="1:2" x14ac:dyDescent="0.35">
      <c r="A848" s="2">
        <v>845</v>
      </c>
      <c r="B848" s="7">
        <v>4.91</v>
      </c>
    </row>
    <row r="849" spans="1:2" x14ac:dyDescent="0.35">
      <c r="A849" s="2">
        <v>846</v>
      </c>
      <c r="B849" s="7">
        <v>4.75</v>
      </c>
    </row>
    <row r="850" spans="1:2" x14ac:dyDescent="0.35">
      <c r="A850" s="2">
        <v>847</v>
      </c>
      <c r="B850" s="7">
        <v>4.42</v>
      </c>
    </row>
    <row r="851" spans="1:2" x14ac:dyDescent="0.35">
      <c r="A851" s="2">
        <v>848</v>
      </c>
      <c r="B851" s="7">
        <v>4.43</v>
      </c>
    </row>
    <row r="852" spans="1:2" x14ac:dyDescent="0.35">
      <c r="A852" s="2">
        <v>849</v>
      </c>
      <c r="B852" s="7">
        <v>3.5</v>
      </c>
    </row>
    <row r="853" spans="1:2" x14ac:dyDescent="0.35">
      <c r="A853" s="2">
        <v>850</v>
      </c>
      <c r="B853" s="7">
        <v>4.3099999999999996</v>
      </c>
    </row>
    <row r="854" spans="1:2" x14ac:dyDescent="0.35">
      <c r="A854" s="2">
        <v>851</v>
      </c>
      <c r="B854" s="7">
        <v>3.4</v>
      </c>
    </row>
    <row r="855" spans="1:2" x14ac:dyDescent="0.35">
      <c r="A855" s="2">
        <v>852</v>
      </c>
      <c r="B855" s="7">
        <v>3.29</v>
      </c>
    </row>
    <row r="856" spans="1:2" x14ac:dyDescent="0.35">
      <c r="A856" s="2">
        <v>853</v>
      </c>
      <c r="B856" s="7">
        <v>5</v>
      </c>
    </row>
    <row r="857" spans="1:2" x14ac:dyDescent="0.35">
      <c r="A857" s="2">
        <v>854</v>
      </c>
      <c r="B857" s="7">
        <v>4.24</v>
      </c>
    </row>
    <row r="858" spans="1:2" x14ac:dyDescent="0.35">
      <c r="A858" s="2">
        <v>855</v>
      </c>
      <c r="B858" s="7">
        <v>3.86</v>
      </c>
    </row>
    <row r="859" spans="1:2" x14ac:dyDescent="0.35">
      <c r="A859" s="2">
        <v>856</v>
      </c>
      <c r="B859" s="7">
        <v>3.58</v>
      </c>
    </row>
    <row r="860" spans="1:2" x14ac:dyDescent="0.35">
      <c r="A860" s="2">
        <v>857</v>
      </c>
      <c r="B860" s="7">
        <v>4.21</v>
      </c>
    </row>
    <row r="861" spans="1:2" x14ac:dyDescent="0.35">
      <c r="A861" s="2">
        <v>858</v>
      </c>
      <c r="B861" s="7">
        <v>3.1</v>
      </c>
    </row>
    <row r="862" spans="1:2" x14ac:dyDescent="0.35">
      <c r="A862" s="2">
        <v>859</v>
      </c>
      <c r="B862" s="7">
        <v>3.19</v>
      </c>
    </row>
    <row r="863" spans="1:2" x14ac:dyDescent="0.35">
      <c r="A863" s="2">
        <v>860</v>
      </c>
      <c r="B863" s="7">
        <v>3.07</v>
      </c>
    </row>
    <row r="864" spans="1:2" x14ac:dyDescent="0.35">
      <c r="A864" s="2">
        <v>861</v>
      </c>
      <c r="B864" s="7">
        <v>4</v>
      </c>
    </row>
    <row r="865" spans="1:2" x14ac:dyDescent="0.35">
      <c r="A865" s="2">
        <v>862</v>
      </c>
      <c r="B865" s="7">
        <v>4.2</v>
      </c>
    </row>
    <row r="866" spans="1:2" x14ac:dyDescent="0.35">
      <c r="A866" s="2">
        <v>863</v>
      </c>
      <c r="B866" s="7">
        <v>3.12</v>
      </c>
    </row>
    <row r="867" spans="1:2" x14ac:dyDescent="0.35">
      <c r="A867" s="2">
        <v>864</v>
      </c>
      <c r="B867" s="7">
        <v>4.4400000000000004</v>
      </c>
    </row>
    <row r="868" spans="1:2" x14ac:dyDescent="0.35">
      <c r="A868" s="2">
        <v>865</v>
      </c>
      <c r="B868" s="7">
        <v>3.46</v>
      </c>
    </row>
    <row r="869" spans="1:2" x14ac:dyDescent="0.35">
      <c r="A869" s="2">
        <v>866</v>
      </c>
      <c r="B869" s="7">
        <v>4.37</v>
      </c>
    </row>
    <row r="870" spans="1:2" x14ac:dyDescent="0.35">
      <c r="A870" s="2">
        <v>867</v>
      </c>
      <c r="B870" s="7">
        <v>4.96</v>
      </c>
    </row>
    <row r="871" spans="1:2" x14ac:dyDescent="0.35">
      <c r="A871" s="2">
        <v>868</v>
      </c>
      <c r="B871" s="7">
        <v>4.38</v>
      </c>
    </row>
    <row r="872" spans="1:2" x14ac:dyDescent="0.35">
      <c r="A872" s="2">
        <v>869</v>
      </c>
      <c r="B872" s="7">
        <v>4.7699999999999996</v>
      </c>
    </row>
    <row r="873" spans="1:2" x14ac:dyDescent="0.35">
      <c r="A873" s="2">
        <v>870</v>
      </c>
      <c r="B873" s="7">
        <v>4.9000000000000004</v>
      </c>
    </row>
    <row r="874" spans="1:2" x14ac:dyDescent="0.35">
      <c r="A874" s="2">
        <v>871</v>
      </c>
      <c r="B874" s="7">
        <v>3.97</v>
      </c>
    </row>
    <row r="875" spans="1:2" x14ac:dyDescent="0.35">
      <c r="A875" s="2">
        <v>872</v>
      </c>
      <c r="B875" s="7">
        <v>4.4000000000000004</v>
      </c>
    </row>
    <row r="876" spans="1:2" x14ac:dyDescent="0.35">
      <c r="A876" s="2">
        <v>873</v>
      </c>
      <c r="B876" s="7">
        <v>4.7</v>
      </c>
    </row>
    <row r="877" spans="1:2" x14ac:dyDescent="0.35">
      <c r="A877" s="2">
        <v>874</v>
      </c>
      <c r="B877" s="7">
        <v>3.71</v>
      </c>
    </row>
    <row r="878" spans="1:2" x14ac:dyDescent="0.35">
      <c r="A878" s="2">
        <v>875</v>
      </c>
      <c r="B878" s="7">
        <v>3.52</v>
      </c>
    </row>
    <row r="879" spans="1:2" x14ac:dyDescent="0.35">
      <c r="A879" s="2">
        <v>876</v>
      </c>
      <c r="B879" s="7">
        <v>4.8899999999999997</v>
      </c>
    </row>
    <row r="880" spans="1:2" x14ac:dyDescent="0.35">
      <c r="A880" s="2">
        <v>877</v>
      </c>
      <c r="B880" s="7">
        <v>4.45</v>
      </c>
    </row>
    <row r="881" spans="1:2" x14ac:dyDescent="0.35">
      <c r="A881" s="2">
        <v>878</v>
      </c>
      <c r="B881" s="7">
        <v>3.44</v>
      </c>
    </row>
    <row r="882" spans="1:2" x14ac:dyDescent="0.35">
      <c r="A882" s="2">
        <v>879</v>
      </c>
      <c r="B882" s="7">
        <v>3.9</v>
      </c>
    </row>
    <row r="883" spans="1:2" x14ac:dyDescent="0.35">
      <c r="A883" s="2">
        <v>880</v>
      </c>
      <c r="B883" s="7">
        <v>4.59</v>
      </c>
    </row>
    <row r="884" spans="1:2" x14ac:dyDescent="0.35">
      <c r="A884" s="2">
        <v>881</v>
      </c>
      <c r="B884" s="7">
        <v>4.09</v>
      </c>
    </row>
    <row r="885" spans="1:2" x14ac:dyDescent="0.35">
      <c r="A885" s="2">
        <v>882</v>
      </c>
      <c r="B885" s="7">
        <v>4.3</v>
      </c>
    </row>
    <row r="886" spans="1:2" x14ac:dyDescent="0.35">
      <c r="A886" s="2">
        <v>883</v>
      </c>
      <c r="B886" s="7">
        <v>4.51</v>
      </c>
    </row>
    <row r="887" spans="1:2" x14ac:dyDescent="0.35">
      <c r="A887" s="2">
        <v>884</v>
      </c>
      <c r="B887" s="7">
        <v>4.24</v>
      </c>
    </row>
    <row r="888" spans="1:2" x14ac:dyDescent="0.35">
      <c r="A888" s="2">
        <v>885</v>
      </c>
      <c r="B888" s="7">
        <v>4.08</v>
      </c>
    </row>
    <row r="889" spans="1:2" x14ac:dyDescent="0.35">
      <c r="A889" s="2">
        <v>886</v>
      </c>
      <c r="B889" s="7">
        <v>4.5</v>
      </c>
    </row>
    <row r="890" spans="1:2" x14ac:dyDescent="0.35">
      <c r="A890" s="2">
        <v>887</v>
      </c>
      <c r="B890" s="7">
        <v>4.46</v>
      </c>
    </row>
    <row r="891" spans="1:2" x14ac:dyDescent="0.35">
      <c r="A891" s="2">
        <v>888</v>
      </c>
      <c r="B891" s="7">
        <v>4.26</v>
      </c>
    </row>
    <row r="892" spans="1:2" x14ac:dyDescent="0.35">
      <c r="A892" s="2">
        <v>889</v>
      </c>
      <c r="B892" s="7">
        <v>3.72</v>
      </c>
    </row>
    <row r="893" spans="1:2" x14ac:dyDescent="0.35">
      <c r="A893" s="2">
        <v>890</v>
      </c>
      <c r="B893" s="7">
        <v>3.81</v>
      </c>
    </row>
    <row r="894" spans="1:2" x14ac:dyDescent="0.35">
      <c r="A894" s="2">
        <v>891</v>
      </c>
      <c r="B894" s="7">
        <v>4.9400000000000004</v>
      </c>
    </row>
    <row r="895" spans="1:2" x14ac:dyDescent="0.35">
      <c r="A895" s="2">
        <v>892</v>
      </c>
      <c r="B895" s="7">
        <v>3.22</v>
      </c>
    </row>
    <row r="896" spans="1:2" x14ac:dyDescent="0.35">
      <c r="A896" s="2">
        <v>893</v>
      </c>
      <c r="B896" s="7">
        <v>3.54</v>
      </c>
    </row>
    <row r="897" spans="1:2" x14ac:dyDescent="0.35">
      <c r="A897" s="2">
        <v>894</v>
      </c>
      <c r="B897" s="7">
        <v>3.98</v>
      </c>
    </row>
    <row r="898" spans="1:2" x14ac:dyDescent="0.35">
      <c r="A898" s="2">
        <v>895</v>
      </c>
      <c r="B898" s="7">
        <v>4.67</v>
      </c>
    </row>
    <row r="899" spans="1:2" x14ac:dyDescent="0.35">
      <c r="A899" s="2">
        <v>896</v>
      </c>
      <c r="B899" s="7">
        <v>3.33</v>
      </c>
    </row>
    <row r="900" spans="1:2" x14ac:dyDescent="0.35">
      <c r="A900" s="2">
        <v>897</v>
      </c>
      <c r="B900" s="7">
        <v>3.55</v>
      </c>
    </row>
    <row r="901" spans="1:2" x14ac:dyDescent="0.35">
      <c r="A901" s="2">
        <v>898</v>
      </c>
      <c r="B901" s="7">
        <v>3.13</v>
      </c>
    </row>
    <row r="902" spans="1:2" x14ac:dyDescent="0.35">
      <c r="A902" s="2">
        <v>899</v>
      </c>
      <c r="B902" s="7">
        <v>4.41</v>
      </c>
    </row>
    <row r="903" spans="1:2" x14ac:dyDescent="0.35">
      <c r="A903" s="2">
        <v>900</v>
      </c>
      <c r="B903" s="7">
        <v>3.48</v>
      </c>
    </row>
    <row r="904" spans="1:2" x14ac:dyDescent="0.35">
      <c r="A904" s="2">
        <v>901</v>
      </c>
      <c r="B904" s="7">
        <v>3.78</v>
      </c>
    </row>
    <row r="905" spans="1:2" x14ac:dyDescent="0.35">
      <c r="A905" s="2">
        <v>902</v>
      </c>
      <c r="B905" s="7">
        <v>3.89</v>
      </c>
    </row>
    <row r="906" spans="1:2" x14ac:dyDescent="0.35">
      <c r="A906" s="2">
        <v>903</v>
      </c>
      <c r="B906" s="7">
        <v>4.78</v>
      </c>
    </row>
    <row r="907" spans="1:2" x14ac:dyDescent="0.35">
      <c r="A907" s="2">
        <v>904</v>
      </c>
      <c r="B907" s="7">
        <v>3.82</v>
      </c>
    </row>
    <row r="908" spans="1:2" x14ac:dyDescent="0.35">
      <c r="A908" s="2">
        <v>905</v>
      </c>
      <c r="B908" s="7">
        <v>3.29</v>
      </c>
    </row>
    <row r="909" spans="1:2" x14ac:dyDescent="0.35">
      <c r="A909" s="2">
        <v>906</v>
      </c>
      <c r="B909" s="7">
        <v>4.05</v>
      </c>
    </row>
    <row r="910" spans="1:2" x14ac:dyDescent="0.35">
      <c r="A910" s="2">
        <v>907</v>
      </c>
      <c r="B910" s="7">
        <v>4.93</v>
      </c>
    </row>
    <row r="911" spans="1:2" x14ac:dyDescent="0.35">
      <c r="A911" s="2">
        <v>908</v>
      </c>
      <c r="B911" s="7">
        <v>4.22</v>
      </c>
    </row>
    <row r="912" spans="1:2" x14ac:dyDescent="0.35">
      <c r="A912" s="2">
        <v>909</v>
      </c>
      <c r="B912" s="7">
        <v>4.97</v>
      </c>
    </row>
    <row r="913" spans="1:2" x14ac:dyDescent="0.35">
      <c r="A913" s="2">
        <v>910</v>
      </c>
      <c r="B913" s="7">
        <v>4.68</v>
      </c>
    </row>
    <row r="914" spans="1:2" x14ac:dyDescent="0.35">
      <c r="A914" s="2">
        <v>911</v>
      </c>
      <c r="B914" s="7">
        <v>3.07</v>
      </c>
    </row>
    <row r="915" spans="1:2" x14ac:dyDescent="0.35">
      <c r="A915" s="2">
        <v>912</v>
      </c>
      <c r="B915" s="7">
        <v>4.32</v>
      </c>
    </row>
    <row r="916" spans="1:2" x14ac:dyDescent="0.35">
      <c r="A916" s="2">
        <v>913</v>
      </c>
      <c r="B916" s="7">
        <v>3.57</v>
      </c>
    </row>
    <row r="917" spans="1:2" x14ac:dyDescent="0.35">
      <c r="A917" s="2">
        <v>914</v>
      </c>
      <c r="B917" s="7">
        <v>4.12</v>
      </c>
    </row>
    <row r="918" spans="1:2" x14ac:dyDescent="0.35">
      <c r="A918" s="2">
        <v>915</v>
      </c>
      <c r="B918" s="7">
        <v>3.56</v>
      </c>
    </row>
    <row r="919" spans="1:2" x14ac:dyDescent="0.35">
      <c r="A919" s="2">
        <v>916</v>
      </c>
      <c r="B919" s="7">
        <v>3.7</v>
      </c>
    </row>
    <row r="920" spans="1:2" x14ac:dyDescent="0.35">
      <c r="A920" s="2">
        <v>917</v>
      </c>
      <c r="B920" s="7">
        <v>4.8499999999999996</v>
      </c>
    </row>
    <row r="921" spans="1:2" x14ac:dyDescent="0.35">
      <c r="A921" s="2">
        <v>918</v>
      </c>
      <c r="B921" s="7">
        <v>3.41</v>
      </c>
    </row>
    <row r="922" spans="1:2" x14ac:dyDescent="0.35">
      <c r="A922" s="2">
        <v>919</v>
      </c>
      <c r="B922" s="7">
        <v>4.75</v>
      </c>
    </row>
    <row r="923" spans="1:2" x14ac:dyDescent="0.35">
      <c r="A923" s="2">
        <v>920</v>
      </c>
      <c r="B923" s="7">
        <v>3.06</v>
      </c>
    </row>
    <row r="924" spans="1:2" x14ac:dyDescent="0.35">
      <c r="A924" s="2">
        <v>921</v>
      </c>
      <c r="B924" s="7">
        <v>3.18</v>
      </c>
    </row>
    <row r="925" spans="1:2" x14ac:dyDescent="0.35">
      <c r="A925" s="2">
        <v>922</v>
      </c>
      <c r="B925" s="7">
        <v>4.71</v>
      </c>
    </row>
    <row r="926" spans="1:2" x14ac:dyDescent="0.35">
      <c r="A926" s="2">
        <v>923</v>
      </c>
      <c r="B926" s="7">
        <v>4.26</v>
      </c>
    </row>
    <row r="927" spans="1:2" x14ac:dyDescent="0.35">
      <c r="A927" s="2">
        <v>924</v>
      </c>
      <c r="B927" s="7">
        <v>4.49</v>
      </c>
    </row>
    <row r="928" spans="1:2" x14ac:dyDescent="0.35">
      <c r="A928" s="2">
        <v>925</v>
      </c>
      <c r="B928" s="7">
        <v>3.42</v>
      </c>
    </row>
    <row r="929" spans="1:2" x14ac:dyDescent="0.35">
      <c r="A929" s="2">
        <v>926</v>
      </c>
      <c r="B929" s="7">
        <v>4.07</v>
      </c>
    </row>
    <row r="930" spans="1:2" x14ac:dyDescent="0.35">
      <c r="A930" s="2">
        <v>927</v>
      </c>
      <c r="B930" s="7">
        <v>4.47</v>
      </c>
    </row>
    <row r="931" spans="1:2" x14ac:dyDescent="0.35">
      <c r="A931" s="2">
        <v>928</v>
      </c>
      <c r="B931" s="7">
        <v>4.25</v>
      </c>
    </row>
    <row r="932" spans="1:2" x14ac:dyDescent="0.35">
      <c r="A932" s="2">
        <v>929</v>
      </c>
      <c r="B932" s="7">
        <v>3.94</v>
      </c>
    </row>
    <row r="933" spans="1:2" x14ac:dyDescent="0.35">
      <c r="A933" s="2">
        <v>930</v>
      </c>
      <c r="B933" s="7">
        <v>4.92</v>
      </c>
    </row>
    <row r="934" spans="1:2" x14ac:dyDescent="0.35">
      <c r="A934" s="2">
        <v>931</v>
      </c>
      <c r="B934" s="7">
        <v>4.3499999999999996</v>
      </c>
    </row>
    <row r="935" spans="1:2" x14ac:dyDescent="0.35">
      <c r="A935" s="2">
        <v>932</v>
      </c>
      <c r="B935" s="7">
        <v>4.82</v>
      </c>
    </row>
    <row r="936" spans="1:2" x14ac:dyDescent="0.35">
      <c r="A936" s="2">
        <v>933</v>
      </c>
      <c r="B936" s="7">
        <v>4.46</v>
      </c>
    </row>
    <row r="937" spans="1:2" x14ac:dyDescent="0.35">
      <c r="A937" s="2">
        <v>934</v>
      </c>
      <c r="B937" s="7">
        <v>4.47</v>
      </c>
    </row>
    <row r="938" spans="1:2" x14ac:dyDescent="0.35">
      <c r="A938" s="2">
        <v>935</v>
      </c>
      <c r="B938" s="7">
        <v>3.16</v>
      </c>
    </row>
    <row r="939" spans="1:2" x14ac:dyDescent="0.35">
      <c r="A939" s="2">
        <v>936</v>
      </c>
      <c r="B939" s="7">
        <v>3.72</v>
      </c>
    </row>
    <row r="940" spans="1:2" x14ac:dyDescent="0.35">
      <c r="A940" s="2">
        <v>937</v>
      </c>
      <c r="B940" s="7">
        <v>4.72</v>
      </c>
    </row>
    <row r="941" spans="1:2" x14ac:dyDescent="0.35">
      <c r="A941" s="2">
        <v>938</v>
      </c>
      <c r="B941" s="7">
        <v>3.47</v>
      </c>
    </row>
    <row r="942" spans="1:2" x14ac:dyDescent="0.35">
      <c r="A942" s="2">
        <v>939</v>
      </c>
      <c r="B942" s="7">
        <v>3.23</v>
      </c>
    </row>
    <row r="943" spans="1:2" x14ac:dyDescent="0.35">
      <c r="A943" s="2">
        <v>940</v>
      </c>
      <c r="B943" s="7">
        <v>3.65</v>
      </c>
    </row>
    <row r="944" spans="1:2" x14ac:dyDescent="0.35">
      <c r="A944" s="2">
        <v>941</v>
      </c>
      <c r="B944" s="7">
        <v>3.44</v>
      </c>
    </row>
    <row r="945" spans="1:2" x14ac:dyDescent="0.35">
      <c r="A945" s="2">
        <v>942</v>
      </c>
      <c r="B945" s="7">
        <v>4.8499999999999996</v>
      </c>
    </row>
    <row r="946" spans="1:2" x14ac:dyDescent="0.35">
      <c r="A946" s="2">
        <v>943</v>
      </c>
      <c r="B946" s="7">
        <v>4.74</v>
      </c>
    </row>
    <row r="947" spans="1:2" x14ac:dyDescent="0.35">
      <c r="A947" s="2">
        <v>944</v>
      </c>
      <c r="B947" s="7">
        <v>4</v>
      </c>
    </row>
    <row r="948" spans="1:2" x14ac:dyDescent="0.35">
      <c r="A948" s="2">
        <v>945</v>
      </c>
      <c r="B948" s="7">
        <v>3.12</v>
      </c>
    </row>
    <row r="949" spans="1:2" x14ac:dyDescent="0.35">
      <c r="A949" s="2">
        <v>946</v>
      </c>
      <c r="B949" s="7">
        <v>4.43</v>
      </c>
    </row>
    <row r="950" spans="1:2" x14ac:dyDescent="0.35">
      <c r="A950" s="2">
        <v>947</v>
      </c>
      <c r="B950" s="7">
        <v>4.25</v>
      </c>
    </row>
    <row r="951" spans="1:2" x14ac:dyDescent="0.35">
      <c r="A951" s="2">
        <v>948</v>
      </c>
      <c r="B951" s="7">
        <v>4.9400000000000004</v>
      </c>
    </row>
    <row r="952" spans="1:2" x14ac:dyDescent="0.35">
      <c r="A952" s="2">
        <v>949</v>
      </c>
      <c r="B952" s="7">
        <v>4.12</v>
      </c>
    </row>
    <row r="953" spans="1:2" x14ac:dyDescent="0.35">
      <c r="A953" s="2">
        <v>950</v>
      </c>
      <c r="B953" s="7">
        <v>3.67</v>
      </c>
    </row>
    <row r="954" spans="1:2" x14ac:dyDescent="0.35">
      <c r="A954" s="2">
        <v>951</v>
      </c>
      <c r="B954" s="7">
        <v>4.04</v>
      </c>
    </row>
    <row r="955" spans="1:2" x14ac:dyDescent="0.35">
      <c r="A955" s="2">
        <v>952</v>
      </c>
      <c r="B955" s="7">
        <v>4.96</v>
      </c>
    </row>
    <row r="956" spans="1:2" x14ac:dyDescent="0.35">
      <c r="A956" s="2">
        <v>953</v>
      </c>
      <c r="B956" s="7">
        <v>4.3899999999999997</v>
      </c>
    </row>
    <row r="957" spans="1:2" x14ac:dyDescent="0.35">
      <c r="A957" s="2">
        <v>954</v>
      </c>
      <c r="B957" s="7">
        <v>4.34</v>
      </c>
    </row>
    <row r="958" spans="1:2" x14ac:dyDescent="0.35">
      <c r="A958" s="2">
        <v>955</v>
      </c>
      <c r="B958" s="7">
        <v>3.48</v>
      </c>
    </row>
    <row r="959" spans="1:2" x14ac:dyDescent="0.35">
      <c r="A959" s="2">
        <v>956</v>
      </c>
      <c r="B959" s="7">
        <v>4.49</v>
      </c>
    </row>
    <row r="960" spans="1:2" x14ac:dyDescent="0.35">
      <c r="A960" s="2">
        <v>957</v>
      </c>
      <c r="B960" s="7">
        <v>4.5</v>
      </c>
    </row>
    <row r="961" spans="1:2" x14ac:dyDescent="0.35">
      <c r="A961" s="2">
        <v>958</v>
      </c>
      <c r="B961" s="7">
        <v>3.63</v>
      </c>
    </row>
    <row r="962" spans="1:2" x14ac:dyDescent="0.35">
      <c r="A962" s="2">
        <v>959</v>
      </c>
      <c r="B962" s="7">
        <v>3.97</v>
      </c>
    </row>
    <row r="963" spans="1:2" x14ac:dyDescent="0.35">
      <c r="A963" s="2">
        <v>960</v>
      </c>
      <c r="B963" s="7">
        <v>3.59</v>
      </c>
    </row>
    <row r="964" spans="1:2" x14ac:dyDescent="0.35">
      <c r="A964" s="2">
        <v>961</v>
      </c>
      <c r="B964" s="7">
        <v>3.52</v>
      </c>
    </row>
    <row r="965" spans="1:2" x14ac:dyDescent="0.35">
      <c r="A965" s="2">
        <v>962</v>
      </c>
      <c r="B965" s="7">
        <v>3.05</v>
      </c>
    </row>
    <row r="966" spans="1:2" x14ac:dyDescent="0.35">
      <c r="A966" s="2">
        <v>963</v>
      </c>
      <c r="B966" s="7">
        <v>3.57</v>
      </c>
    </row>
    <row r="967" spans="1:2" x14ac:dyDescent="0.35">
      <c r="A967" s="2">
        <v>964</v>
      </c>
      <c r="B967" s="7">
        <v>4.1100000000000003</v>
      </c>
    </row>
    <row r="968" spans="1:2" x14ac:dyDescent="0.35">
      <c r="A968" s="2">
        <v>965</v>
      </c>
      <c r="B968" s="7">
        <v>3</v>
      </c>
    </row>
    <row r="969" spans="1:2" x14ac:dyDescent="0.35">
      <c r="A969" s="2">
        <v>966</v>
      </c>
      <c r="B969" s="7">
        <v>3.57</v>
      </c>
    </row>
    <row r="970" spans="1:2" x14ac:dyDescent="0.35">
      <c r="A970" s="2">
        <v>967</v>
      </c>
      <c r="B970" s="7">
        <v>4.76</v>
      </c>
    </row>
    <row r="971" spans="1:2" x14ac:dyDescent="0.35">
      <c r="A971" s="2">
        <v>968</v>
      </c>
      <c r="B971" s="7">
        <v>4.1900000000000004</v>
      </c>
    </row>
    <row r="972" spans="1:2" x14ac:dyDescent="0.35">
      <c r="A972" s="2">
        <v>969</v>
      </c>
      <c r="B972" s="7">
        <v>4.22</v>
      </c>
    </row>
    <row r="973" spans="1:2" x14ac:dyDescent="0.35">
      <c r="A973" s="2">
        <v>970</v>
      </c>
      <c r="B973" s="7">
        <v>3.81</v>
      </c>
    </row>
    <row r="974" spans="1:2" x14ac:dyDescent="0.35">
      <c r="A974" s="2">
        <v>971</v>
      </c>
      <c r="B974" s="7">
        <v>4.3499999999999996</v>
      </c>
    </row>
    <row r="975" spans="1:2" x14ac:dyDescent="0.35">
      <c r="A975" s="2">
        <v>972</v>
      </c>
      <c r="B975" s="7">
        <v>3.38</v>
      </c>
    </row>
    <row r="976" spans="1:2" x14ac:dyDescent="0.35">
      <c r="A976" s="2">
        <v>973</v>
      </c>
      <c r="B976" s="7">
        <v>4.6399999999999997</v>
      </c>
    </row>
    <row r="977" spans="1:2" x14ac:dyDescent="0.35">
      <c r="A977" s="2">
        <v>974</v>
      </c>
      <c r="B977" s="7">
        <v>3.23</v>
      </c>
    </row>
    <row r="978" spans="1:2" x14ac:dyDescent="0.35">
      <c r="A978" s="2">
        <v>975</v>
      </c>
      <c r="B978" s="7">
        <v>4.3099999999999996</v>
      </c>
    </row>
    <row r="979" spans="1:2" x14ac:dyDescent="0.35">
      <c r="A979" s="2">
        <v>976</v>
      </c>
      <c r="B979" s="7">
        <v>3.68</v>
      </c>
    </row>
    <row r="980" spans="1:2" x14ac:dyDescent="0.35">
      <c r="A980" s="2">
        <v>977</v>
      </c>
      <c r="B980" s="7">
        <v>4.5</v>
      </c>
    </row>
    <row r="981" spans="1:2" x14ac:dyDescent="0.35">
      <c r="A981" s="2">
        <v>978</v>
      </c>
      <c r="B981" s="7">
        <v>4.0999999999999996</v>
      </c>
    </row>
    <row r="982" spans="1:2" x14ac:dyDescent="0.35">
      <c r="A982" s="2">
        <v>979</v>
      </c>
      <c r="B982" s="7">
        <v>3.9</v>
      </c>
    </row>
    <row r="983" spans="1:2" x14ac:dyDescent="0.35">
      <c r="A983" s="2">
        <v>980</v>
      </c>
      <c r="B983" s="7">
        <v>3.34</v>
      </c>
    </row>
    <row r="984" spans="1:2" x14ac:dyDescent="0.35">
      <c r="A984" s="2">
        <v>981</v>
      </c>
      <c r="B984" s="7">
        <v>4.2699999999999996</v>
      </c>
    </row>
    <row r="985" spans="1:2" x14ac:dyDescent="0.35">
      <c r="A985" s="2">
        <v>982</v>
      </c>
      <c r="B985" s="7">
        <v>4.95</v>
      </c>
    </row>
    <row r="986" spans="1:2" x14ac:dyDescent="0.35">
      <c r="A986" s="2">
        <v>983</v>
      </c>
      <c r="B986" s="7">
        <v>4.6500000000000004</v>
      </c>
    </row>
    <row r="987" spans="1:2" x14ac:dyDescent="0.35">
      <c r="A987" s="2">
        <v>984</v>
      </c>
      <c r="B987" s="7">
        <v>3.12</v>
      </c>
    </row>
    <row r="988" spans="1:2" x14ac:dyDescent="0.35">
      <c r="A988" s="2">
        <v>985</v>
      </c>
      <c r="B988" s="7">
        <v>3.75</v>
      </c>
    </row>
    <row r="989" spans="1:2" x14ac:dyDescent="0.35">
      <c r="A989" s="2">
        <v>986</v>
      </c>
      <c r="B989" s="7">
        <v>4.8499999999999996</v>
      </c>
    </row>
    <row r="990" spans="1:2" x14ac:dyDescent="0.35">
      <c r="A990" s="2">
        <v>987</v>
      </c>
      <c r="B990" s="7">
        <v>4.01</v>
      </c>
    </row>
    <row r="991" spans="1:2" x14ac:dyDescent="0.35">
      <c r="A991" s="2">
        <v>988</v>
      </c>
      <c r="B991" s="7">
        <v>4.32</v>
      </c>
    </row>
    <row r="992" spans="1:2" x14ac:dyDescent="0.35">
      <c r="A992" s="2">
        <v>989</v>
      </c>
      <c r="B992" s="7">
        <v>4.83</v>
      </c>
    </row>
    <row r="993" spans="1:2" x14ac:dyDescent="0.35">
      <c r="A993" s="2">
        <v>990</v>
      </c>
      <c r="B993" s="7">
        <v>4.75</v>
      </c>
    </row>
    <row r="994" spans="1:2" x14ac:dyDescent="0.35">
      <c r="A994" s="2">
        <v>991</v>
      </c>
      <c r="B994" s="7">
        <v>4</v>
      </c>
    </row>
    <row r="995" spans="1:2" x14ac:dyDescent="0.35">
      <c r="A995" s="2">
        <v>992</v>
      </c>
      <c r="B995" s="7">
        <v>3.88</v>
      </c>
    </row>
    <row r="996" spans="1:2" x14ac:dyDescent="0.35">
      <c r="A996" s="2">
        <v>993</v>
      </c>
      <c r="B996" s="7">
        <v>3.68</v>
      </c>
    </row>
    <row r="997" spans="1:2" x14ac:dyDescent="0.35">
      <c r="A997" s="2">
        <v>994</v>
      </c>
      <c r="B997" s="7">
        <v>4.4400000000000004</v>
      </c>
    </row>
    <row r="998" spans="1:2" x14ac:dyDescent="0.35">
      <c r="A998" s="2">
        <v>995</v>
      </c>
      <c r="B998" s="7">
        <v>3.57</v>
      </c>
    </row>
    <row r="999" spans="1:2" x14ac:dyDescent="0.35">
      <c r="A999" s="2">
        <v>996</v>
      </c>
      <c r="B999" s="7">
        <v>3.5</v>
      </c>
    </row>
    <row r="1000" spans="1:2" x14ac:dyDescent="0.35">
      <c r="A1000" s="2">
        <v>997</v>
      </c>
      <c r="B1000" s="7">
        <v>3.71</v>
      </c>
    </row>
    <row r="1001" spans="1:2" x14ac:dyDescent="0.35">
      <c r="A1001" s="2">
        <v>998</v>
      </c>
      <c r="B1001" s="7">
        <v>3.35</v>
      </c>
    </row>
    <row r="1002" spans="1:2" x14ac:dyDescent="0.35">
      <c r="A1002" s="2">
        <v>999</v>
      </c>
      <c r="B1002" s="7">
        <v>4.3899999999999997</v>
      </c>
    </row>
    <row r="1003" spans="1:2" x14ac:dyDescent="0.35">
      <c r="A1003" s="2">
        <v>1000</v>
      </c>
      <c r="B1003" s="7">
        <v>4.2300000000000004</v>
      </c>
    </row>
    <row r="1004" spans="1:2" ht="21" x14ac:dyDescent="0.5">
      <c r="A1004" s="2" t="s">
        <v>44</v>
      </c>
      <c r="B1004" s="8">
        <v>3.994930000000001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59A0C-146B-405C-BCE8-5C5929664C31}">
  <dimension ref="A3:D1004"/>
  <sheetViews>
    <sheetView workbookViewId="0">
      <selection activeCell="G14" sqref="G14"/>
    </sheetView>
  </sheetViews>
  <sheetFormatPr defaultRowHeight="14.5" x14ac:dyDescent="0.35"/>
  <cols>
    <col min="1" max="1" width="12.36328125" bestFit="1" customWidth="1"/>
    <col min="2" max="2" width="15.6328125" bestFit="1" customWidth="1"/>
  </cols>
  <sheetData>
    <row r="3" spans="1:4" x14ac:dyDescent="0.35">
      <c r="A3" s="1" t="s">
        <v>43</v>
      </c>
      <c r="B3" t="s">
        <v>50</v>
      </c>
    </row>
    <row r="4" spans="1:4" x14ac:dyDescent="0.35">
      <c r="A4" s="2">
        <v>1</v>
      </c>
      <c r="B4" s="7">
        <v>4.22</v>
      </c>
      <c r="D4">
        <f>AVERAGE(B3:B1003)</f>
        <v>4.2569199999999991</v>
      </c>
    </row>
    <row r="5" spans="1:4" x14ac:dyDescent="0.35">
      <c r="A5" s="2">
        <v>2</v>
      </c>
      <c r="B5" s="7">
        <v>4.09</v>
      </c>
    </row>
    <row r="6" spans="1:4" x14ac:dyDescent="0.35">
      <c r="A6" s="2">
        <v>3</v>
      </c>
      <c r="B6" s="7">
        <v>4.8600000000000003</v>
      </c>
    </row>
    <row r="7" spans="1:4" x14ac:dyDescent="0.35">
      <c r="A7" s="2">
        <v>4</v>
      </c>
      <c r="B7" s="7">
        <v>3.54</v>
      </c>
    </row>
    <row r="8" spans="1:4" x14ac:dyDescent="0.35">
      <c r="A8" s="2">
        <v>5</v>
      </c>
      <c r="B8" s="7">
        <v>4.6500000000000004</v>
      </c>
    </row>
    <row r="9" spans="1:4" x14ac:dyDescent="0.35">
      <c r="A9" s="2">
        <v>6</v>
      </c>
      <c r="B9" s="7">
        <v>4.8499999999999996</v>
      </c>
    </row>
    <row r="10" spans="1:4" x14ac:dyDescent="0.35">
      <c r="A10" s="2">
        <v>7</v>
      </c>
      <c r="B10" s="7">
        <v>4.17</v>
      </c>
    </row>
    <row r="11" spans="1:4" x14ac:dyDescent="0.35">
      <c r="A11" s="2">
        <v>8</v>
      </c>
      <c r="B11" s="7">
        <v>4.33</v>
      </c>
    </row>
    <row r="12" spans="1:4" x14ac:dyDescent="0.35">
      <c r="A12" s="2">
        <v>9</v>
      </c>
      <c r="B12" s="7">
        <v>4.92</v>
      </c>
    </row>
    <row r="13" spans="1:4" x14ac:dyDescent="0.35">
      <c r="A13" s="2">
        <v>10</v>
      </c>
      <c r="B13" s="7">
        <v>3.82</v>
      </c>
    </row>
    <row r="14" spans="1:4" x14ac:dyDescent="0.35">
      <c r="A14" s="2">
        <v>11</v>
      </c>
      <c r="B14" s="7">
        <v>4.28</v>
      </c>
    </row>
    <row r="15" spans="1:4" x14ac:dyDescent="0.35">
      <c r="A15" s="2">
        <v>12</v>
      </c>
      <c r="B15" s="7">
        <v>4.21</v>
      </c>
    </row>
    <row r="16" spans="1:4" x14ac:dyDescent="0.35">
      <c r="A16" s="2">
        <v>13</v>
      </c>
      <c r="B16" s="7">
        <v>3.89</v>
      </c>
    </row>
    <row r="17" spans="1:2" x14ac:dyDescent="0.35">
      <c r="A17" s="2">
        <v>14</v>
      </c>
      <c r="B17" s="7">
        <v>4.7300000000000004</v>
      </c>
    </row>
    <row r="18" spans="1:2" x14ac:dyDescent="0.35">
      <c r="A18" s="2">
        <v>15</v>
      </c>
      <c r="B18" s="7">
        <v>4.8499999999999996</v>
      </c>
    </row>
    <row r="19" spans="1:2" x14ac:dyDescent="0.35">
      <c r="A19" s="2">
        <v>16</v>
      </c>
      <c r="B19" s="7">
        <v>4.67</v>
      </c>
    </row>
    <row r="20" spans="1:2" x14ac:dyDescent="0.35">
      <c r="A20" s="2">
        <v>17</v>
      </c>
      <c r="B20" s="7">
        <v>3.79</v>
      </c>
    </row>
    <row r="21" spans="1:2" x14ac:dyDescent="0.35">
      <c r="A21" s="2">
        <v>18</v>
      </c>
      <c r="B21" s="7">
        <v>3.63</v>
      </c>
    </row>
    <row r="22" spans="1:2" x14ac:dyDescent="0.35">
      <c r="A22" s="2">
        <v>19</v>
      </c>
      <c r="B22" s="7">
        <v>4.41</v>
      </c>
    </row>
    <row r="23" spans="1:2" x14ac:dyDescent="0.35">
      <c r="A23" s="2">
        <v>20</v>
      </c>
      <c r="B23" s="7">
        <v>3.59</v>
      </c>
    </row>
    <row r="24" spans="1:2" x14ac:dyDescent="0.35">
      <c r="A24" s="2">
        <v>21</v>
      </c>
      <c r="B24" s="7">
        <v>4.51</v>
      </c>
    </row>
    <row r="25" spans="1:2" x14ac:dyDescent="0.35">
      <c r="A25" s="2">
        <v>22</v>
      </c>
      <c r="B25" s="7">
        <v>4.3</v>
      </c>
    </row>
    <row r="26" spans="1:2" x14ac:dyDescent="0.35">
      <c r="A26" s="2">
        <v>23</v>
      </c>
      <c r="B26" s="7">
        <v>4.49</v>
      </c>
    </row>
    <row r="27" spans="1:2" x14ac:dyDescent="0.35">
      <c r="A27" s="2">
        <v>24</v>
      </c>
      <c r="B27" s="7">
        <v>4.3899999999999997</v>
      </c>
    </row>
    <row r="28" spans="1:2" x14ac:dyDescent="0.35">
      <c r="A28" s="2">
        <v>25</v>
      </c>
      <c r="B28" s="7">
        <v>4.13</v>
      </c>
    </row>
    <row r="29" spans="1:2" x14ac:dyDescent="0.35">
      <c r="A29" s="2">
        <v>26</v>
      </c>
      <c r="B29" s="7">
        <v>3.8</v>
      </c>
    </row>
    <row r="30" spans="1:2" x14ac:dyDescent="0.35">
      <c r="A30" s="2">
        <v>27</v>
      </c>
      <c r="B30" s="7">
        <v>3.96</v>
      </c>
    </row>
    <row r="31" spans="1:2" x14ac:dyDescent="0.35">
      <c r="A31" s="2">
        <v>28</v>
      </c>
      <c r="B31" s="7">
        <v>4.29</v>
      </c>
    </row>
    <row r="32" spans="1:2" x14ac:dyDescent="0.35">
      <c r="A32" s="2">
        <v>29</v>
      </c>
      <c r="B32" s="7">
        <v>4.4800000000000004</v>
      </c>
    </row>
    <row r="33" spans="1:2" x14ac:dyDescent="0.35">
      <c r="A33" s="2">
        <v>30</v>
      </c>
      <c r="B33" s="7">
        <v>4.67</v>
      </c>
    </row>
    <row r="34" spans="1:2" x14ac:dyDescent="0.35">
      <c r="A34" s="2">
        <v>31</v>
      </c>
      <c r="B34" s="7">
        <v>4.6500000000000004</v>
      </c>
    </row>
    <row r="35" spans="1:2" x14ac:dyDescent="0.35">
      <c r="A35" s="2">
        <v>32</v>
      </c>
      <c r="B35" s="7">
        <v>4.96</v>
      </c>
    </row>
    <row r="36" spans="1:2" x14ac:dyDescent="0.35">
      <c r="A36" s="2">
        <v>33</v>
      </c>
      <c r="B36" s="7">
        <v>3.93</v>
      </c>
    </row>
    <row r="37" spans="1:2" x14ac:dyDescent="0.35">
      <c r="A37" s="2">
        <v>34</v>
      </c>
      <c r="B37" s="7">
        <v>3.61</v>
      </c>
    </row>
    <row r="38" spans="1:2" x14ac:dyDescent="0.35">
      <c r="A38" s="2">
        <v>35</v>
      </c>
      <c r="B38" s="7">
        <v>4.0199999999999996</v>
      </c>
    </row>
    <row r="39" spans="1:2" x14ac:dyDescent="0.35">
      <c r="A39" s="2">
        <v>36</v>
      </c>
      <c r="B39" s="7">
        <v>4.6100000000000003</v>
      </c>
    </row>
    <row r="40" spans="1:2" x14ac:dyDescent="0.35">
      <c r="A40" s="2">
        <v>37</v>
      </c>
      <c r="B40" s="7">
        <v>4.16</v>
      </c>
    </row>
    <row r="41" spans="1:2" x14ac:dyDescent="0.35">
      <c r="A41" s="2">
        <v>38</v>
      </c>
      <c r="B41" s="7">
        <v>4.7300000000000004</v>
      </c>
    </row>
    <row r="42" spans="1:2" x14ac:dyDescent="0.35">
      <c r="A42" s="2">
        <v>39</v>
      </c>
      <c r="B42" s="7">
        <v>4.32</v>
      </c>
    </row>
    <row r="43" spans="1:2" x14ac:dyDescent="0.35">
      <c r="A43" s="2">
        <v>40</v>
      </c>
      <c r="B43" s="7">
        <v>4.8899999999999997</v>
      </c>
    </row>
    <row r="44" spans="1:2" x14ac:dyDescent="0.35">
      <c r="A44" s="2">
        <v>41</v>
      </c>
      <c r="B44" s="7">
        <v>4.92</v>
      </c>
    </row>
    <row r="45" spans="1:2" x14ac:dyDescent="0.35">
      <c r="A45" s="2">
        <v>42</v>
      </c>
      <c r="B45" s="7">
        <v>3.6</v>
      </c>
    </row>
    <row r="46" spans="1:2" x14ac:dyDescent="0.35">
      <c r="A46" s="2">
        <v>43</v>
      </c>
      <c r="B46" s="7">
        <v>4.18</v>
      </c>
    </row>
    <row r="47" spans="1:2" x14ac:dyDescent="0.35">
      <c r="A47" s="2">
        <v>44</v>
      </c>
      <c r="B47" s="7">
        <v>4.41</v>
      </c>
    </row>
    <row r="48" spans="1:2" x14ac:dyDescent="0.35">
      <c r="A48" s="2">
        <v>45</v>
      </c>
      <c r="B48" s="7">
        <v>3.88</v>
      </c>
    </row>
    <row r="49" spans="1:2" x14ac:dyDescent="0.35">
      <c r="A49" s="2">
        <v>46</v>
      </c>
      <c r="B49" s="7">
        <v>4.1100000000000003</v>
      </c>
    </row>
    <row r="50" spans="1:2" x14ac:dyDescent="0.35">
      <c r="A50" s="2">
        <v>47</v>
      </c>
      <c r="B50" s="7">
        <v>4.5199999999999996</v>
      </c>
    </row>
    <row r="51" spans="1:2" x14ac:dyDescent="0.35">
      <c r="A51" s="2">
        <v>48</v>
      </c>
      <c r="B51" s="7">
        <v>3.84</v>
      </c>
    </row>
    <row r="52" spans="1:2" x14ac:dyDescent="0.35">
      <c r="A52" s="2">
        <v>49</v>
      </c>
      <c r="B52" s="7">
        <v>4.4000000000000004</v>
      </c>
    </row>
    <row r="53" spans="1:2" x14ac:dyDescent="0.35">
      <c r="A53" s="2">
        <v>50</v>
      </c>
      <c r="B53" s="7">
        <v>4.55</v>
      </c>
    </row>
    <row r="54" spans="1:2" x14ac:dyDescent="0.35">
      <c r="A54" s="2">
        <v>51</v>
      </c>
      <c r="B54" s="7">
        <v>3.64</v>
      </c>
    </row>
    <row r="55" spans="1:2" x14ac:dyDescent="0.35">
      <c r="A55" s="2">
        <v>52</v>
      </c>
      <c r="B55" s="7">
        <v>4.25</v>
      </c>
    </row>
    <row r="56" spans="1:2" x14ac:dyDescent="0.35">
      <c r="A56" s="2">
        <v>53</v>
      </c>
      <c r="B56" s="7">
        <v>3.89</v>
      </c>
    </row>
    <row r="57" spans="1:2" x14ac:dyDescent="0.35">
      <c r="A57" s="2">
        <v>54</v>
      </c>
      <c r="B57" s="7">
        <v>4.59</v>
      </c>
    </row>
    <row r="58" spans="1:2" x14ac:dyDescent="0.35">
      <c r="A58" s="2">
        <v>55</v>
      </c>
      <c r="B58" s="7">
        <v>3.78</v>
      </c>
    </row>
    <row r="59" spans="1:2" x14ac:dyDescent="0.35">
      <c r="A59" s="2">
        <v>56</v>
      </c>
      <c r="B59" s="7">
        <v>4.84</v>
      </c>
    </row>
    <row r="60" spans="1:2" x14ac:dyDescent="0.35">
      <c r="A60" s="2">
        <v>57</v>
      </c>
      <c r="B60" s="7">
        <v>4.1500000000000004</v>
      </c>
    </row>
    <row r="61" spans="1:2" x14ac:dyDescent="0.35">
      <c r="A61" s="2">
        <v>58</v>
      </c>
      <c r="B61" s="7">
        <v>3.8</v>
      </c>
    </row>
    <row r="62" spans="1:2" x14ac:dyDescent="0.35">
      <c r="A62" s="2">
        <v>59</v>
      </c>
      <c r="B62" s="7">
        <v>4.16</v>
      </c>
    </row>
    <row r="63" spans="1:2" x14ac:dyDescent="0.35">
      <c r="A63" s="2">
        <v>60</v>
      </c>
      <c r="B63" s="7">
        <v>4.1100000000000003</v>
      </c>
    </row>
    <row r="64" spans="1:2" x14ac:dyDescent="0.35">
      <c r="A64" s="2">
        <v>61</v>
      </c>
      <c r="B64" s="7">
        <v>4.1399999999999997</v>
      </c>
    </row>
    <row r="65" spans="1:2" x14ac:dyDescent="0.35">
      <c r="A65" s="2">
        <v>62</v>
      </c>
      <c r="B65" s="7">
        <v>4.38</v>
      </c>
    </row>
    <row r="66" spans="1:2" x14ac:dyDescent="0.35">
      <c r="A66" s="2">
        <v>63</v>
      </c>
      <c r="B66" s="7">
        <v>4.28</v>
      </c>
    </row>
    <row r="67" spans="1:2" x14ac:dyDescent="0.35">
      <c r="A67" s="2">
        <v>64</v>
      </c>
      <c r="B67" s="7">
        <v>3.72</v>
      </c>
    </row>
    <row r="68" spans="1:2" x14ac:dyDescent="0.35">
      <c r="A68" s="2">
        <v>65</v>
      </c>
      <c r="B68" s="7">
        <v>3.6</v>
      </c>
    </row>
    <row r="69" spans="1:2" x14ac:dyDescent="0.35">
      <c r="A69" s="2">
        <v>66</v>
      </c>
      <c r="B69" s="7">
        <v>4.59</v>
      </c>
    </row>
    <row r="70" spans="1:2" x14ac:dyDescent="0.35">
      <c r="A70" s="2">
        <v>67</v>
      </c>
      <c r="B70" s="7">
        <v>4.34</v>
      </c>
    </row>
    <row r="71" spans="1:2" x14ac:dyDescent="0.35">
      <c r="A71" s="2">
        <v>68</v>
      </c>
      <c r="B71" s="7">
        <v>4.04</v>
      </c>
    </row>
    <row r="72" spans="1:2" x14ac:dyDescent="0.35">
      <c r="A72" s="2">
        <v>69</v>
      </c>
      <c r="B72" s="7">
        <v>4.71</v>
      </c>
    </row>
    <row r="73" spans="1:2" x14ac:dyDescent="0.35">
      <c r="A73" s="2">
        <v>70</v>
      </c>
      <c r="B73" s="7">
        <v>4.08</v>
      </c>
    </row>
    <row r="74" spans="1:2" x14ac:dyDescent="0.35">
      <c r="A74" s="2">
        <v>71</v>
      </c>
      <c r="B74" s="7">
        <v>4.6900000000000004</v>
      </c>
    </row>
    <row r="75" spans="1:2" x14ac:dyDescent="0.35">
      <c r="A75" s="2">
        <v>72</v>
      </c>
      <c r="B75" s="7">
        <v>3.96</v>
      </c>
    </row>
    <row r="76" spans="1:2" x14ac:dyDescent="0.35">
      <c r="A76" s="2">
        <v>73</v>
      </c>
      <c r="B76" s="7">
        <v>3.61</v>
      </c>
    </row>
    <row r="77" spans="1:2" x14ac:dyDescent="0.35">
      <c r="A77" s="2">
        <v>74</v>
      </c>
      <c r="B77" s="7">
        <v>4.9000000000000004</v>
      </c>
    </row>
    <row r="78" spans="1:2" x14ac:dyDescent="0.35">
      <c r="A78" s="2">
        <v>75</v>
      </c>
      <c r="B78" s="7">
        <v>4.09</v>
      </c>
    </row>
    <row r="79" spans="1:2" x14ac:dyDescent="0.35">
      <c r="A79" s="2">
        <v>76</v>
      </c>
      <c r="B79" s="7">
        <v>4.6900000000000004</v>
      </c>
    </row>
    <row r="80" spans="1:2" x14ac:dyDescent="0.35">
      <c r="A80" s="2">
        <v>77</v>
      </c>
      <c r="B80" s="7">
        <v>3.92</v>
      </c>
    </row>
    <row r="81" spans="1:2" x14ac:dyDescent="0.35">
      <c r="A81" s="2">
        <v>78</v>
      </c>
      <c r="B81" s="7">
        <v>4.47</v>
      </c>
    </row>
    <row r="82" spans="1:2" x14ac:dyDescent="0.35">
      <c r="A82" s="2">
        <v>79</v>
      </c>
      <c r="B82" s="7">
        <v>4.8099999999999996</v>
      </c>
    </row>
    <row r="83" spans="1:2" x14ac:dyDescent="0.35">
      <c r="A83" s="2">
        <v>80</v>
      </c>
      <c r="B83" s="7">
        <v>3.56</v>
      </c>
    </row>
    <row r="84" spans="1:2" x14ac:dyDescent="0.35">
      <c r="A84" s="2">
        <v>81</v>
      </c>
      <c r="B84" s="7">
        <v>4.75</v>
      </c>
    </row>
    <row r="85" spans="1:2" x14ac:dyDescent="0.35">
      <c r="A85" s="2">
        <v>82</v>
      </c>
      <c r="B85" s="7">
        <v>4.3600000000000003</v>
      </c>
    </row>
    <row r="86" spans="1:2" x14ac:dyDescent="0.35">
      <c r="A86" s="2">
        <v>83</v>
      </c>
      <c r="B86" s="7">
        <v>4.41</v>
      </c>
    </row>
    <row r="87" spans="1:2" x14ac:dyDescent="0.35">
      <c r="A87" s="2">
        <v>84</v>
      </c>
      <c r="B87" s="7">
        <v>4.28</v>
      </c>
    </row>
    <row r="88" spans="1:2" x14ac:dyDescent="0.35">
      <c r="A88" s="2">
        <v>85</v>
      </c>
      <c r="B88" s="7">
        <v>4.8099999999999996</v>
      </c>
    </row>
    <row r="89" spans="1:2" x14ac:dyDescent="0.35">
      <c r="A89" s="2">
        <v>86</v>
      </c>
      <c r="B89" s="7">
        <v>3.57</v>
      </c>
    </row>
    <row r="90" spans="1:2" x14ac:dyDescent="0.35">
      <c r="A90" s="2">
        <v>87</v>
      </c>
      <c r="B90" s="7">
        <v>3.89</v>
      </c>
    </row>
    <row r="91" spans="1:2" x14ac:dyDescent="0.35">
      <c r="A91" s="2">
        <v>88</v>
      </c>
      <c r="B91" s="7">
        <v>4.8099999999999996</v>
      </c>
    </row>
    <row r="92" spans="1:2" x14ac:dyDescent="0.35">
      <c r="A92" s="2">
        <v>89</v>
      </c>
      <c r="B92" s="7">
        <v>4.63</v>
      </c>
    </row>
    <row r="93" spans="1:2" x14ac:dyDescent="0.35">
      <c r="A93" s="2">
        <v>90</v>
      </c>
      <c r="B93" s="7">
        <v>3.53</v>
      </c>
    </row>
    <row r="94" spans="1:2" x14ac:dyDescent="0.35">
      <c r="A94" s="2">
        <v>91</v>
      </c>
      <c r="B94" s="7">
        <v>4.28</v>
      </c>
    </row>
    <row r="95" spans="1:2" x14ac:dyDescent="0.35">
      <c r="A95" s="2">
        <v>92</v>
      </c>
      <c r="B95" s="7">
        <v>4.29</v>
      </c>
    </row>
    <row r="96" spans="1:2" x14ac:dyDescent="0.35">
      <c r="A96" s="2">
        <v>93</v>
      </c>
      <c r="B96" s="7">
        <v>4.0999999999999996</v>
      </c>
    </row>
    <row r="97" spans="1:2" x14ac:dyDescent="0.35">
      <c r="A97" s="2">
        <v>94</v>
      </c>
      <c r="B97" s="7">
        <v>3.95</v>
      </c>
    </row>
    <row r="98" spans="1:2" x14ac:dyDescent="0.35">
      <c r="A98" s="2">
        <v>95</v>
      </c>
      <c r="B98" s="7">
        <v>4.5199999999999996</v>
      </c>
    </row>
    <row r="99" spans="1:2" x14ac:dyDescent="0.35">
      <c r="A99" s="2">
        <v>96</v>
      </c>
      <c r="B99" s="7">
        <v>3.81</v>
      </c>
    </row>
    <row r="100" spans="1:2" x14ac:dyDescent="0.35">
      <c r="A100" s="2">
        <v>97</v>
      </c>
      <c r="B100" s="7">
        <v>4.7</v>
      </c>
    </row>
    <row r="101" spans="1:2" x14ac:dyDescent="0.35">
      <c r="A101" s="2">
        <v>98</v>
      </c>
      <c r="B101" s="7">
        <v>4.7</v>
      </c>
    </row>
    <row r="102" spans="1:2" x14ac:dyDescent="0.35">
      <c r="A102" s="2">
        <v>99</v>
      </c>
      <c r="B102" s="7">
        <v>4.12</v>
      </c>
    </row>
    <row r="103" spans="1:2" x14ac:dyDescent="0.35">
      <c r="A103" s="2">
        <v>100</v>
      </c>
      <c r="B103" s="7">
        <v>3.93</v>
      </c>
    </row>
    <row r="104" spans="1:2" x14ac:dyDescent="0.35">
      <c r="A104" s="2">
        <v>101</v>
      </c>
      <c r="B104" s="7">
        <v>3.93</v>
      </c>
    </row>
    <row r="105" spans="1:2" x14ac:dyDescent="0.35">
      <c r="A105" s="2">
        <v>102</v>
      </c>
      <c r="B105" s="7">
        <v>4.22</v>
      </c>
    </row>
    <row r="106" spans="1:2" x14ac:dyDescent="0.35">
      <c r="A106" s="2">
        <v>103</v>
      </c>
      <c r="B106" s="7">
        <v>4.58</v>
      </c>
    </row>
    <row r="107" spans="1:2" x14ac:dyDescent="0.35">
      <c r="A107" s="2">
        <v>104</v>
      </c>
      <c r="B107" s="7">
        <v>4.04</v>
      </c>
    </row>
    <row r="108" spans="1:2" x14ac:dyDescent="0.35">
      <c r="A108" s="2">
        <v>105</v>
      </c>
      <c r="B108" s="7">
        <v>4.42</v>
      </c>
    </row>
    <row r="109" spans="1:2" x14ac:dyDescent="0.35">
      <c r="A109" s="2">
        <v>106</v>
      </c>
      <c r="B109" s="7">
        <v>4.07</v>
      </c>
    </row>
    <row r="110" spans="1:2" x14ac:dyDescent="0.35">
      <c r="A110" s="2">
        <v>107</v>
      </c>
      <c r="B110" s="7">
        <v>3.96</v>
      </c>
    </row>
    <row r="111" spans="1:2" x14ac:dyDescent="0.35">
      <c r="A111" s="2">
        <v>108</v>
      </c>
      <c r="B111" s="7">
        <v>3.54</v>
      </c>
    </row>
    <row r="112" spans="1:2" x14ac:dyDescent="0.35">
      <c r="A112" s="2">
        <v>109</v>
      </c>
      <c r="B112" s="7">
        <v>3.51</v>
      </c>
    </row>
    <row r="113" spans="1:2" x14ac:dyDescent="0.35">
      <c r="A113" s="2">
        <v>110</v>
      </c>
      <c r="B113" s="7">
        <v>3.84</v>
      </c>
    </row>
    <row r="114" spans="1:2" x14ac:dyDescent="0.35">
      <c r="A114" s="2">
        <v>111</v>
      </c>
      <c r="B114" s="7">
        <v>4.1100000000000003</v>
      </c>
    </row>
    <row r="115" spans="1:2" x14ac:dyDescent="0.35">
      <c r="A115" s="2">
        <v>112</v>
      </c>
      <c r="B115" s="7">
        <v>4.78</v>
      </c>
    </row>
    <row r="116" spans="1:2" x14ac:dyDescent="0.35">
      <c r="A116" s="2">
        <v>113</v>
      </c>
      <c r="B116" s="7">
        <v>4.7</v>
      </c>
    </row>
    <row r="117" spans="1:2" x14ac:dyDescent="0.35">
      <c r="A117" s="2">
        <v>114</v>
      </c>
      <c r="B117" s="7">
        <v>3.9</v>
      </c>
    </row>
    <row r="118" spans="1:2" x14ac:dyDescent="0.35">
      <c r="A118" s="2">
        <v>115</v>
      </c>
      <c r="B118" s="7">
        <v>3.87</v>
      </c>
    </row>
    <row r="119" spans="1:2" x14ac:dyDescent="0.35">
      <c r="A119" s="2">
        <v>116</v>
      </c>
      <c r="B119" s="7">
        <v>3.84</v>
      </c>
    </row>
    <row r="120" spans="1:2" x14ac:dyDescent="0.35">
      <c r="A120" s="2">
        <v>117</v>
      </c>
      <c r="B120" s="7">
        <v>4.01</v>
      </c>
    </row>
    <row r="121" spans="1:2" x14ac:dyDescent="0.35">
      <c r="A121" s="2">
        <v>118</v>
      </c>
      <c r="B121" s="7">
        <v>4.25</v>
      </c>
    </row>
    <row r="122" spans="1:2" x14ac:dyDescent="0.35">
      <c r="A122" s="2">
        <v>119</v>
      </c>
      <c r="B122" s="7">
        <v>4.16</v>
      </c>
    </row>
    <row r="123" spans="1:2" x14ac:dyDescent="0.35">
      <c r="A123" s="2">
        <v>120</v>
      </c>
      <c r="B123" s="7">
        <v>3.83</v>
      </c>
    </row>
    <row r="124" spans="1:2" x14ac:dyDescent="0.35">
      <c r="A124" s="2">
        <v>121</v>
      </c>
      <c r="B124" s="7">
        <v>3.7</v>
      </c>
    </row>
    <row r="125" spans="1:2" x14ac:dyDescent="0.35">
      <c r="A125" s="2">
        <v>122</v>
      </c>
      <c r="B125" s="7">
        <v>3.52</v>
      </c>
    </row>
    <row r="126" spans="1:2" x14ac:dyDescent="0.35">
      <c r="A126" s="2">
        <v>123</v>
      </c>
      <c r="B126" s="7">
        <v>3.73</v>
      </c>
    </row>
    <row r="127" spans="1:2" x14ac:dyDescent="0.35">
      <c r="A127" s="2">
        <v>124</v>
      </c>
      <c r="B127" s="7">
        <v>4.5599999999999996</v>
      </c>
    </row>
    <row r="128" spans="1:2" x14ac:dyDescent="0.35">
      <c r="A128" s="2">
        <v>125</v>
      </c>
      <c r="B128" s="7">
        <v>3.87</v>
      </c>
    </row>
    <row r="129" spans="1:2" x14ac:dyDescent="0.35">
      <c r="A129" s="2">
        <v>126</v>
      </c>
      <c r="B129" s="7">
        <v>4.2</v>
      </c>
    </row>
    <row r="130" spans="1:2" x14ac:dyDescent="0.35">
      <c r="A130" s="2">
        <v>127</v>
      </c>
      <c r="B130" s="7">
        <v>4.3899999999999997</v>
      </c>
    </row>
    <row r="131" spans="1:2" x14ac:dyDescent="0.35">
      <c r="A131" s="2">
        <v>128</v>
      </c>
      <c r="B131" s="7">
        <v>4.83</v>
      </c>
    </row>
    <row r="132" spans="1:2" x14ac:dyDescent="0.35">
      <c r="A132" s="2">
        <v>129</v>
      </c>
      <c r="B132" s="7">
        <v>4.83</v>
      </c>
    </row>
    <row r="133" spans="1:2" x14ac:dyDescent="0.35">
      <c r="A133" s="2">
        <v>130</v>
      </c>
      <c r="B133" s="7">
        <v>4.62</v>
      </c>
    </row>
    <row r="134" spans="1:2" x14ac:dyDescent="0.35">
      <c r="A134" s="2">
        <v>131</v>
      </c>
      <c r="B134" s="7">
        <v>3.55</v>
      </c>
    </row>
    <row r="135" spans="1:2" x14ac:dyDescent="0.35">
      <c r="A135" s="2">
        <v>132</v>
      </c>
      <c r="B135" s="7">
        <v>4.3600000000000003</v>
      </c>
    </row>
    <row r="136" spans="1:2" x14ac:dyDescent="0.35">
      <c r="A136" s="2">
        <v>133</v>
      </c>
      <c r="B136" s="7">
        <v>4.68</v>
      </c>
    </row>
    <row r="137" spans="1:2" x14ac:dyDescent="0.35">
      <c r="A137" s="2">
        <v>134</v>
      </c>
      <c r="B137" s="7">
        <v>3.53</v>
      </c>
    </row>
    <row r="138" spans="1:2" x14ac:dyDescent="0.35">
      <c r="A138" s="2">
        <v>135</v>
      </c>
      <c r="B138" s="7">
        <v>4.32</v>
      </c>
    </row>
    <row r="139" spans="1:2" x14ac:dyDescent="0.35">
      <c r="A139" s="2">
        <v>136</v>
      </c>
      <c r="B139" s="7">
        <v>4.79</v>
      </c>
    </row>
    <row r="140" spans="1:2" x14ac:dyDescent="0.35">
      <c r="A140" s="2">
        <v>137</v>
      </c>
      <c r="B140" s="7">
        <v>4.21</v>
      </c>
    </row>
    <row r="141" spans="1:2" x14ac:dyDescent="0.35">
      <c r="A141" s="2">
        <v>138</v>
      </c>
      <c r="B141" s="7">
        <v>3.51</v>
      </c>
    </row>
    <row r="142" spans="1:2" x14ac:dyDescent="0.35">
      <c r="A142" s="2">
        <v>139</v>
      </c>
      <c r="B142" s="7">
        <v>3.52</v>
      </c>
    </row>
    <row r="143" spans="1:2" x14ac:dyDescent="0.35">
      <c r="A143" s="2">
        <v>140</v>
      </c>
      <c r="B143" s="7">
        <v>4.12</v>
      </c>
    </row>
    <row r="144" spans="1:2" x14ac:dyDescent="0.35">
      <c r="A144" s="2">
        <v>141</v>
      </c>
      <c r="B144" s="7">
        <v>3.73</v>
      </c>
    </row>
    <row r="145" spans="1:2" x14ac:dyDescent="0.35">
      <c r="A145" s="2">
        <v>142</v>
      </c>
      <c r="B145" s="7">
        <v>4.5</v>
      </c>
    </row>
    <row r="146" spans="1:2" x14ac:dyDescent="0.35">
      <c r="A146" s="2">
        <v>143</v>
      </c>
      <c r="B146" s="7">
        <v>4.5599999999999996</v>
      </c>
    </row>
    <row r="147" spans="1:2" x14ac:dyDescent="0.35">
      <c r="A147" s="2">
        <v>144</v>
      </c>
      <c r="B147" s="7">
        <v>3.77</v>
      </c>
    </row>
    <row r="148" spans="1:2" x14ac:dyDescent="0.35">
      <c r="A148" s="2">
        <v>145</v>
      </c>
      <c r="B148" s="7">
        <v>4.83</v>
      </c>
    </row>
    <row r="149" spans="1:2" x14ac:dyDescent="0.35">
      <c r="A149" s="2">
        <v>146</v>
      </c>
      <c r="B149" s="7">
        <v>4.16</v>
      </c>
    </row>
    <row r="150" spans="1:2" x14ac:dyDescent="0.35">
      <c r="A150" s="2">
        <v>147</v>
      </c>
      <c r="B150" s="7">
        <v>3.71</v>
      </c>
    </row>
    <row r="151" spans="1:2" x14ac:dyDescent="0.35">
      <c r="A151" s="2">
        <v>148</v>
      </c>
      <c r="B151" s="7">
        <v>4.6500000000000004</v>
      </c>
    </row>
    <row r="152" spans="1:2" x14ac:dyDescent="0.35">
      <c r="A152" s="2">
        <v>149</v>
      </c>
      <c r="B152" s="7">
        <v>4.68</v>
      </c>
    </row>
    <row r="153" spans="1:2" x14ac:dyDescent="0.35">
      <c r="A153" s="2">
        <v>150</v>
      </c>
      <c r="B153" s="7">
        <v>4.46</v>
      </c>
    </row>
    <row r="154" spans="1:2" x14ac:dyDescent="0.35">
      <c r="A154" s="2">
        <v>151</v>
      </c>
      <c r="B154" s="7">
        <v>4.78</v>
      </c>
    </row>
    <row r="155" spans="1:2" x14ac:dyDescent="0.35">
      <c r="A155" s="2">
        <v>152</v>
      </c>
      <c r="B155" s="7">
        <v>4.6100000000000003</v>
      </c>
    </row>
    <row r="156" spans="1:2" x14ac:dyDescent="0.35">
      <c r="A156" s="2">
        <v>153</v>
      </c>
      <c r="B156" s="7">
        <v>4.82</v>
      </c>
    </row>
    <row r="157" spans="1:2" x14ac:dyDescent="0.35">
      <c r="A157" s="2">
        <v>154</v>
      </c>
      <c r="B157" s="7">
        <v>4.1500000000000004</v>
      </c>
    </row>
    <row r="158" spans="1:2" x14ac:dyDescent="0.35">
      <c r="A158" s="2">
        <v>155</v>
      </c>
      <c r="B158" s="7">
        <v>4.62</v>
      </c>
    </row>
    <row r="159" spans="1:2" x14ac:dyDescent="0.35">
      <c r="A159" s="2">
        <v>156</v>
      </c>
      <c r="B159" s="7">
        <v>5</v>
      </c>
    </row>
    <row r="160" spans="1:2" x14ac:dyDescent="0.35">
      <c r="A160" s="2">
        <v>157</v>
      </c>
      <c r="B160" s="7">
        <v>4.59</v>
      </c>
    </row>
    <row r="161" spans="1:2" x14ac:dyDescent="0.35">
      <c r="A161" s="2">
        <v>158</v>
      </c>
      <c r="B161" s="7">
        <v>3.67</v>
      </c>
    </row>
    <row r="162" spans="1:2" x14ac:dyDescent="0.35">
      <c r="A162" s="2">
        <v>159</v>
      </c>
      <c r="B162" s="7">
        <v>4.28</v>
      </c>
    </row>
    <row r="163" spans="1:2" x14ac:dyDescent="0.35">
      <c r="A163" s="2">
        <v>160</v>
      </c>
      <c r="B163" s="7">
        <v>4.38</v>
      </c>
    </row>
    <row r="164" spans="1:2" x14ac:dyDescent="0.35">
      <c r="A164" s="2">
        <v>161</v>
      </c>
      <c r="B164" s="7">
        <v>3.76</v>
      </c>
    </row>
    <row r="165" spans="1:2" x14ac:dyDescent="0.35">
      <c r="A165" s="2">
        <v>162</v>
      </c>
      <c r="B165" s="7">
        <v>4.9400000000000004</v>
      </c>
    </row>
    <row r="166" spans="1:2" x14ac:dyDescent="0.35">
      <c r="A166" s="2">
        <v>163</v>
      </c>
      <c r="B166" s="7">
        <v>3.76</v>
      </c>
    </row>
    <row r="167" spans="1:2" x14ac:dyDescent="0.35">
      <c r="A167" s="2">
        <v>164</v>
      </c>
      <c r="B167" s="7">
        <v>3.77</v>
      </c>
    </row>
    <row r="168" spans="1:2" x14ac:dyDescent="0.35">
      <c r="A168" s="2">
        <v>165</v>
      </c>
      <c r="B168" s="7">
        <v>4.87</v>
      </c>
    </row>
    <row r="169" spans="1:2" x14ac:dyDescent="0.35">
      <c r="A169" s="2">
        <v>166</v>
      </c>
      <c r="B169" s="7">
        <v>4.2</v>
      </c>
    </row>
    <row r="170" spans="1:2" x14ac:dyDescent="0.35">
      <c r="A170" s="2">
        <v>167</v>
      </c>
      <c r="B170" s="7">
        <v>3.59</v>
      </c>
    </row>
    <row r="171" spans="1:2" x14ac:dyDescent="0.35">
      <c r="A171" s="2">
        <v>168</v>
      </c>
      <c r="B171" s="7">
        <v>4.4000000000000004</v>
      </c>
    </row>
    <row r="172" spans="1:2" x14ac:dyDescent="0.35">
      <c r="A172" s="2">
        <v>169</v>
      </c>
      <c r="B172" s="7">
        <v>4.4000000000000004</v>
      </c>
    </row>
    <row r="173" spans="1:2" x14ac:dyDescent="0.35">
      <c r="A173" s="2">
        <v>170</v>
      </c>
      <c r="B173" s="7">
        <v>3.6</v>
      </c>
    </row>
    <row r="174" spans="1:2" x14ac:dyDescent="0.35">
      <c r="A174" s="2">
        <v>171</v>
      </c>
      <c r="B174" s="7">
        <v>4.96</v>
      </c>
    </row>
    <row r="175" spans="1:2" x14ac:dyDescent="0.35">
      <c r="A175" s="2">
        <v>172</v>
      </c>
      <c r="B175" s="7">
        <v>4.32</v>
      </c>
    </row>
    <row r="176" spans="1:2" x14ac:dyDescent="0.35">
      <c r="A176" s="2">
        <v>173</v>
      </c>
      <c r="B176" s="7">
        <v>4.34</v>
      </c>
    </row>
    <row r="177" spans="1:2" x14ac:dyDescent="0.35">
      <c r="A177" s="2">
        <v>174</v>
      </c>
      <c r="B177" s="7">
        <v>4.28</v>
      </c>
    </row>
    <row r="178" spans="1:2" x14ac:dyDescent="0.35">
      <c r="A178" s="2">
        <v>175</v>
      </c>
      <c r="B178" s="7">
        <v>4.42</v>
      </c>
    </row>
    <row r="179" spans="1:2" x14ac:dyDescent="0.35">
      <c r="A179" s="2">
        <v>176</v>
      </c>
      <c r="B179" s="7">
        <v>3.9</v>
      </c>
    </row>
    <row r="180" spans="1:2" x14ac:dyDescent="0.35">
      <c r="A180" s="2">
        <v>177</v>
      </c>
      <c r="B180" s="7">
        <v>3.93</v>
      </c>
    </row>
    <row r="181" spans="1:2" x14ac:dyDescent="0.35">
      <c r="A181" s="2">
        <v>178</v>
      </c>
      <c r="B181" s="7">
        <v>4.2699999999999996</v>
      </c>
    </row>
    <row r="182" spans="1:2" x14ac:dyDescent="0.35">
      <c r="A182" s="2">
        <v>179</v>
      </c>
      <c r="B182" s="7">
        <v>4.71</v>
      </c>
    </row>
    <row r="183" spans="1:2" x14ac:dyDescent="0.35">
      <c r="A183" s="2">
        <v>180</v>
      </c>
      <c r="B183" s="7">
        <v>3.57</v>
      </c>
    </row>
    <row r="184" spans="1:2" x14ac:dyDescent="0.35">
      <c r="A184" s="2">
        <v>181</v>
      </c>
      <c r="B184" s="7">
        <v>4.41</v>
      </c>
    </row>
    <row r="185" spans="1:2" x14ac:dyDescent="0.35">
      <c r="A185" s="2">
        <v>182</v>
      </c>
      <c r="B185" s="7">
        <v>4.71</v>
      </c>
    </row>
    <row r="186" spans="1:2" x14ac:dyDescent="0.35">
      <c r="A186" s="2">
        <v>183</v>
      </c>
      <c r="B186" s="7">
        <v>3.74</v>
      </c>
    </row>
    <row r="187" spans="1:2" x14ac:dyDescent="0.35">
      <c r="A187" s="2">
        <v>184</v>
      </c>
      <c r="B187" s="7">
        <v>3.52</v>
      </c>
    </row>
    <row r="188" spans="1:2" x14ac:dyDescent="0.35">
      <c r="A188" s="2">
        <v>185</v>
      </c>
      <c r="B188" s="7">
        <v>3.97</v>
      </c>
    </row>
    <row r="189" spans="1:2" x14ac:dyDescent="0.35">
      <c r="A189" s="2">
        <v>186</v>
      </c>
      <c r="B189" s="7">
        <v>4.38</v>
      </c>
    </row>
    <row r="190" spans="1:2" x14ac:dyDescent="0.35">
      <c r="A190" s="2">
        <v>187</v>
      </c>
      <c r="B190" s="7">
        <v>3.71</v>
      </c>
    </row>
    <row r="191" spans="1:2" x14ac:dyDescent="0.35">
      <c r="A191" s="2">
        <v>188</v>
      </c>
      <c r="B191" s="7">
        <v>4.1399999999999997</v>
      </c>
    </row>
    <row r="192" spans="1:2" x14ac:dyDescent="0.35">
      <c r="A192" s="2">
        <v>189</v>
      </c>
      <c r="B192" s="7">
        <v>4.33</v>
      </c>
    </row>
    <row r="193" spans="1:2" x14ac:dyDescent="0.35">
      <c r="A193" s="2">
        <v>190</v>
      </c>
      <c r="B193" s="7">
        <v>4.4000000000000004</v>
      </c>
    </row>
    <row r="194" spans="1:2" x14ac:dyDescent="0.35">
      <c r="A194" s="2">
        <v>191</v>
      </c>
      <c r="B194" s="7">
        <v>3.91</v>
      </c>
    </row>
    <row r="195" spans="1:2" x14ac:dyDescent="0.35">
      <c r="A195" s="2">
        <v>192</v>
      </c>
      <c r="B195" s="7">
        <v>4.0999999999999996</v>
      </c>
    </row>
    <row r="196" spans="1:2" x14ac:dyDescent="0.35">
      <c r="A196" s="2">
        <v>193</v>
      </c>
      <c r="B196" s="7">
        <v>4.67</v>
      </c>
    </row>
    <row r="197" spans="1:2" x14ac:dyDescent="0.35">
      <c r="A197" s="2">
        <v>194</v>
      </c>
      <c r="B197" s="7">
        <v>4.91</v>
      </c>
    </row>
    <row r="198" spans="1:2" x14ac:dyDescent="0.35">
      <c r="A198" s="2">
        <v>195</v>
      </c>
      <c r="B198" s="7">
        <v>4.79</v>
      </c>
    </row>
    <row r="199" spans="1:2" x14ac:dyDescent="0.35">
      <c r="A199" s="2">
        <v>196</v>
      </c>
      <c r="B199" s="7">
        <v>4.3499999999999996</v>
      </c>
    </row>
    <row r="200" spans="1:2" x14ac:dyDescent="0.35">
      <c r="A200" s="2">
        <v>197</v>
      </c>
      <c r="B200" s="7">
        <v>4.12</v>
      </c>
    </row>
    <row r="201" spans="1:2" x14ac:dyDescent="0.35">
      <c r="A201" s="2">
        <v>198</v>
      </c>
      <c r="B201" s="7">
        <v>4</v>
      </c>
    </row>
    <row r="202" spans="1:2" x14ac:dyDescent="0.35">
      <c r="A202" s="2">
        <v>199</v>
      </c>
      <c r="B202" s="7">
        <v>3.69</v>
      </c>
    </row>
    <row r="203" spans="1:2" x14ac:dyDescent="0.35">
      <c r="A203" s="2">
        <v>200</v>
      </c>
      <c r="B203" s="7">
        <v>3.66</v>
      </c>
    </row>
    <row r="204" spans="1:2" x14ac:dyDescent="0.35">
      <c r="A204" s="2">
        <v>201</v>
      </c>
      <c r="B204" s="7">
        <v>4.53</v>
      </c>
    </row>
    <row r="205" spans="1:2" x14ac:dyDescent="0.35">
      <c r="A205" s="2">
        <v>202</v>
      </c>
      <c r="B205" s="7">
        <v>3.89</v>
      </c>
    </row>
    <row r="206" spans="1:2" x14ac:dyDescent="0.35">
      <c r="A206" s="2">
        <v>203</v>
      </c>
      <c r="B206" s="7">
        <v>3.88</v>
      </c>
    </row>
    <row r="207" spans="1:2" x14ac:dyDescent="0.35">
      <c r="A207" s="2">
        <v>204</v>
      </c>
      <c r="B207" s="7">
        <v>5</v>
      </c>
    </row>
    <row r="208" spans="1:2" x14ac:dyDescent="0.35">
      <c r="A208" s="2">
        <v>205</v>
      </c>
      <c r="B208" s="7">
        <v>3.78</v>
      </c>
    </row>
    <row r="209" spans="1:2" x14ac:dyDescent="0.35">
      <c r="A209" s="2">
        <v>206</v>
      </c>
      <c r="B209" s="7">
        <v>3.72</v>
      </c>
    </row>
    <row r="210" spans="1:2" x14ac:dyDescent="0.35">
      <c r="A210" s="2">
        <v>207</v>
      </c>
      <c r="B210" s="7">
        <v>3.65</v>
      </c>
    </row>
    <row r="211" spans="1:2" x14ac:dyDescent="0.35">
      <c r="A211" s="2">
        <v>208</v>
      </c>
      <c r="B211" s="7">
        <v>4.37</v>
      </c>
    </row>
    <row r="212" spans="1:2" x14ac:dyDescent="0.35">
      <c r="A212" s="2">
        <v>209</v>
      </c>
      <c r="B212" s="7">
        <v>4.4400000000000004</v>
      </c>
    </row>
    <row r="213" spans="1:2" x14ac:dyDescent="0.35">
      <c r="A213" s="2">
        <v>210</v>
      </c>
      <c r="B213" s="7">
        <v>4.05</v>
      </c>
    </row>
    <row r="214" spans="1:2" x14ac:dyDescent="0.35">
      <c r="A214" s="2">
        <v>211</v>
      </c>
      <c r="B214" s="7">
        <v>4.3</v>
      </c>
    </row>
    <row r="215" spans="1:2" x14ac:dyDescent="0.35">
      <c r="A215" s="2">
        <v>212</v>
      </c>
      <c r="B215" s="7">
        <v>4.68</v>
      </c>
    </row>
    <row r="216" spans="1:2" x14ac:dyDescent="0.35">
      <c r="A216" s="2">
        <v>213</v>
      </c>
      <c r="B216" s="7">
        <v>4.7300000000000004</v>
      </c>
    </row>
    <row r="217" spans="1:2" x14ac:dyDescent="0.35">
      <c r="A217" s="2">
        <v>214</v>
      </c>
      <c r="B217" s="7">
        <v>4.9400000000000004</v>
      </c>
    </row>
    <row r="218" spans="1:2" x14ac:dyDescent="0.35">
      <c r="A218" s="2">
        <v>215</v>
      </c>
      <c r="B218" s="7">
        <v>4.74</v>
      </c>
    </row>
    <row r="219" spans="1:2" x14ac:dyDescent="0.35">
      <c r="A219" s="2">
        <v>216</v>
      </c>
      <c r="B219" s="7">
        <v>4.3499999999999996</v>
      </c>
    </row>
    <row r="220" spans="1:2" x14ac:dyDescent="0.35">
      <c r="A220" s="2">
        <v>217</v>
      </c>
      <c r="B220" s="7">
        <v>3.77</v>
      </c>
    </row>
    <row r="221" spans="1:2" x14ac:dyDescent="0.35">
      <c r="A221" s="2">
        <v>218</v>
      </c>
      <c r="B221" s="7">
        <v>3.65</v>
      </c>
    </row>
    <row r="222" spans="1:2" x14ac:dyDescent="0.35">
      <c r="A222" s="2">
        <v>219</v>
      </c>
      <c r="B222" s="7">
        <v>3.58</v>
      </c>
    </row>
    <row r="223" spans="1:2" x14ac:dyDescent="0.35">
      <c r="A223" s="2">
        <v>220</v>
      </c>
      <c r="B223" s="7">
        <v>4.5</v>
      </c>
    </row>
    <row r="224" spans="1:2" x14ac:dyDescent="0.35">
      <c r="A224" s="2">
        <v>221</v>
      </c>
      <c r="B224" s="7">
        <v>4.71</v>
      </c>
    </row>
    <row r="225" spans="1:2" x14ac:dyDescent="0.35">
      <c r="A225" s="2">
        <v>222</v>
      </c>
      <c r="B225" s="7">
        <v>4.26</v>
      </c>
    </row>
    <row r="226" spans="1:2" x14ac:dyDescent="0.35">
      <c r="A226" s="2">
        <v>223</v>
      </c>
      <c r="B226" s="7">
        <v>3.58</v>
      </c>
    </row>
    <row r="227" spans="1:2" x14ac:dyDescent="0.35">
      <c r="A227" s="2">
        <v>224</v>
      </c>
      <c r="B227" s="7">
        <v>4.3</v>
      </c>
    </row>
    <row r="228" spans="1:2" x14ac:dyDescent="0.35">
      <c r="A228" s="2">
        <v>225</v>
      </c>
      <c r="B228" s="7">
        <v>4.9000000000000004</v>
      </c>
    </row>
    <row r="229" spans="1:2" x14ac:dyDescent="0.35">
      <c r="A229" s="2">
        <v>226</v>
      </c>
      <c r="B229" s="7">
        <v>4.4000000000000004</v>
      </c>
    </row>
    <row r="230" spans="1:2" x14ac:dyDescent="0.35">
      <c r="A230" s="2">
        <v>227</v>
      </c>
      <c r="B230" s="7">
        <v>4.71</v>
      </c>
    </row>
    <row r="231" spans="1:2" x14ac:dyDescent="0.35">
      <c r="A231" s="2">
        <v>228</v>
      </c>
      <c r="B231" s="7">
        <v>4.7</v>
      </c>
    </row>
    <row r="232" spans="1:2" x14ac:dyDescent="0.35">
      <c r="A232" s="2">
        <v>229</v>
      </c>
      <c r="B232" s="7">
        <v>4.9000000000000004</v>
      </c>
    </row>
    <row r="233" spans="1:2" x14ac:dyDescent="0.35">
      <c r="A233" s="2">
        <v>230</v>
      </c>
      <c r="B233" s="7">
        <v>4.66</v>
      </c>
    </row>
    <row r="234" spans="1:2" x14ac:dyDescent="0.35">
      <c r="A234" s="2">
        <v>231</v>
      </c>
      <c r="B234" s="7">
        <v>4.62</v>
      </c>
    </row>
    <row r="235" spans="1:2" x14ac:dyDescent="0.35">
      <c r="A235" s="2">
        <v>232</v>
      </c>
      <c r="B235" s="7">
        <v>3.85</v>
      </c>
    </row>
    <row r="236" spans="1:2" x14ac:dyDescent="0.35">
      <c r="A236" s="2">
        <v>233</v>
      </c>
      <c r="B236" s="7">
        <v>3.59</v>
      </c>
    </row>
    <row r="237" spans="1:2" x14ac:dyDescent="0.35">
      <c r="A237" s="2">
        <v>234</v>
      </c>
      <c r="B237" s="7">
        <v>4.28</v>
      </c>
    </row>
    <row r="238" spans="1:2" x14ac:dyDescent="0.35">
      <c r="A238" s="2">
        <v>235</v>
      </c>
      <c r="B238" s="7">
        <v>3.69</v>
      </c>
    </row>
    <row r="239" spans="1:2" x14ac:dyDescent="0.35">
      <c r="A239" s="2">
        <v>236</v>
      </c>
      <c r="B239" s="7">
        <v>4.9400000000000004</v>
      </c>
    </row>
    <row r="240" spans="1:2" x14ac:dyDescent="0.35">
      <c r="A240" s="2">
        <v>237</v>
      </c>
      <c r="B240" s="7">
        <v>3.93</v>
      </c>
    </row>
    <row r="241" spans="1:2" x14ac:dyDescent="0.35">
      <c r="A241" s="2">
        <v>238</v>
      </c>
      <c r="B241" s="7">
        <v>4.78</v>
      </c>
    </row>
    <row r="242" spans="1:2" x14ac:dyDescent="0.35">
      <c r="A242" s="2">
        <v>239</v>
      </c>
      <c r="B242" s="7">
        <v>4.08</v>
      </c>
    </row>
    <row r="243" spans="1:2" x14ac:dyDescent="0.35">
      <c r="A243" s="2">
        <v>240</v>
      </c>
      <c r="B243" s="7">
        <v>3.98</v>
      </c>
    </row>
    <row r="244" spans="1:2" x14ac:dyDescent="0.35">
      <c r="A244" s="2">
        <v>241</v>
      </c>
      <c r="B244" s="7">
        <v>4.9000000000000004</v>
      </c>
    </row>
    <row r="245" spans="1:2" x14ac:dyDescent="0.35">
      <c r="A245" s="2">
        <v>242</v>
      </c>
      <c r="B245" s="7">
        <v>4.04</v>
      </c>
    </row>
    <row r="246" spans="1:2" x14ac:dyDescent="0.35">
      <c r="A246" s="2">
        <v>243</v>
      </c>
      <c r="B246" s="7">
        <v>4.09</v>
      </c>
    </row>
    <row r="247" spans="1:2" x14ac:dyDescent="0.35">
      <c r="A247" s="2">
        <v>244</v>
      </c>
      <c r="B247" s="7">
        <v>3.66</v>
      </c>
    </row>
    <row r="248" spans="1:2" x14ac:dyDescent="0.35">
      <c r="A248" s="2">
        <v>245</v>
      </c>
      <c r="B248" s="7">
        <v>4.51</v>
      </c>
    </row>
    <row r="249" spans="1:2" x14ac:dyDescent="0.35">
      <c r="A249" s="2">
        <v>246</v>
      </c>
      <c r="B249" s="7">
        <v>3.93</v>
      </c>
    </row>
    <row r="250" spans="1:2" x14ac:dyDescent="0.35">
      <c r="A250" s="2">
        <v>247</v>
      </c>
      <c r="B250" s="7">
        <v>4.38</v>
      </c>
    </row>
    <row r="251" spans="1:2" x14ac:dyDescent="0.35">
      <c r="A251" s="2">
        <v>248</v>
      </c>
      <c r="B251" s="7">
        <v>4.3899999999999997</v>
      </c>
    </row>
    <row r="252" spans="1:2" x14ac:dyDescent="0.35">
      <c r="A252" s="2">
        <v>249</v>
      </c>
      <c r="B252" s="7">
        <v>4.58</v>
      </c>
    </row>
    <row r="253" spans="1:2" x14ac:dyDescent="0.35">
      <c r="A253" s="2">
        <v>250</v>
      </c>
      <c r="B253" s="7">
        <v>4.62</v>
      </c>
    </row>
    <row r="254" spans="1:2" x14ac:dyDescent="0.35">
      <c r="A254" s="2">
        <v>251</v>
      </c>
      <c r="B254" s="7">
        <v>4.2699999999999996</v>
      </c>
    </row>
    <row r="255" spans="1:2" x14ac:dyDescent="0.35">
      <c r="A255" s="2">
        <v>252</v>
      </c>
      <c r="B255" s="7">
        <v>4</v>
      </c>
    </row>
    <row r="256" spans="1:2" x14ac:dyDescent="0.35">
      <c r="A256" s="2">
        <v>253</v>
      </c>
      <c r="B256" s="7">
        <v>4.76</v>
      </c>
    </row>
    <row r="257" spans="1:2" x14ac:dyDescent="0.35">
      <c r="A257" s="2">
        <v>254</v>
      </c>
      <c r="B257" s="7">
        <v>3.96</v>
      </c>
    </row>
    <row r="258" spans="1:2" x14ac:dyDescent="0.35">
      <c r="A258" s="2">
        <v>255</v>
      </c>
      <c r="B258" s="7">
        <v>4.26</v>
      </c>
    </row>
    <row r="259" spans="1:2" x14ac:dyDescent="0.35">
      <c r="A259" s="2">
        <v>256</v>
      </c>
      <c r="B259" s="7">
        <v>4.0999999999999996</v>
      </c>
    </row>
    <row r="260" spans="1:2" x14ac:dyDescent="0.35">
      <c r="A260" s="2">
        <v>257</v>
      </c>
      <c r="B260" s="7">
        <v>4.78</v>
      </c>
    </row>
    <row r="261" spans="1:2" x14ac:dyDescent="0.35">
      <c r="A261" s="2">
        <v>258</v>
      </c>
      <c r="B261" s="7">
        <v>4.1500000000000004</v>
      </c>
    </row>
    <row r="262" spans="1:2" x14ac:dyDescent="0.35">
      <c r="A262" s="2">
        <v>259</v>
      </c>
      <c r="B262" s="7">
        <v>4.08</v>
      </c>
    </row>
    <row r="263" spans="1:2" x14ac:dyDescent="0.35">
      <c r="A263" s="2">
        <v>260</v>
      </c>
      <c r="B263" s="7">
        <v>4.53</v>
      </c>
    </row>
    <row r="264" spans="1:2" x14ac:dyDescent="0.35">
      <c r="A264" s="2">
        <v>261</v>
      </c>
      <c r="B264" s="7">
        <v>4.4000000000000004</v>
      </c>
    </row>
    <row r="265" spans="1:2" x14ac:dyDescent="0.35">
      <c r="A265" s="2">
        <v>262</v>
      </c>
      <c r="B265" s="7">
        <v>3.66</v>
      </c>
    </row>
    <row r="266" spans="1:2" x14ac:dyDescent="0.35">
      <c r="A266" s="2">
        <v>263</v>
      </c>
      <c r="B266" s="7">
        <v>4.26</v>
      </c>
    </row>
    <row r="267" spans="1:2" x14ac:dyDescent="0.35">
      <c r="A267" s="2">
        <v>264</v>
      </c>
      <c r="B267" s="7">
        <v>4.5999999999999996</v>
      </c>
    </row>
    <row r="268" spans="1:2" x14ac:dyDescent="0.35">
      <c r="A268" s="2">
        <v>265</v>
      </c>
      <c r="B268" s="7">
        <v>4.99</v>
      </c>
    </row>
    <row r="269" spans="1:2" x14ac:dyDescent="0.35">
      <c r="A269" s="2">
        <v>266</v>
      </c>
      <c r="B269" s="7">
        <v>4.4400000000000004</v>
      </c>
    </row>
    <row r="270" spans="1:2" x14ac:dyDescent="0.35">
      <c r="A270" s="2">
        <v>267</v>
      </c>
      <c r="B270" s="7">
        <v>4.0599999999999996</v>
      </c>
    </row>
    <row r="271" spans="1:2" x14ac:dyDescent="0.35">
      <c r="A271" s="2">
        <v>268</v>
      </c>
      <c r="B271" s="7">
        <v>3.84</v>
      </c>
    </row>
    <row r="272" spans="1:2" x14ac:dyDescent="0.35">
      <c r="A272" s="2">
        <v>269</v>
      </c>
      <c r="B272" s="7">
        <v>4.8099999999999996</v>
      </c>
    </row>
    <row r="273" spans="1:2" x14ac:dyDescent="0.35">
      <c r="A273" s="2">
        <v>270</v>
      </c>
      <c r="B273" s="7">
        <v>4.72</v>
      </c>
    </row>
    <row r="274" spans="1:2" x14ac:dyDescent="0.35">
      <c r="A274" s="2">
        <v>271</v>
      </c>
      <c r="B274" s="7">
        <v>3.85</v>
      </c>
    </row>
    <row r="275" spans="1:2" x14ac:dyDescent="0.35">
      <c r="A275" s="2">
        <v>272</v>
      </c>
      <c r="B275" s="7">
        <v>3.8</v>
      </c>
    </row>
    <row r="276" spans="1:2" x14ac:dyDescent="0.35">
      <c r="A276" s="2">
        <v>273</v>
      </c>
      <c r="B276" s="7">
        <v>4.57</v>
      </c>
    </row>
    <row r="277" spans="1:2" x14ac:dyDescent="0.35">
      <c r="A277" s="2">
        <v>274</v>
      </c>
      <c r="B277" s="7">
        <v>3.97</v>
      </c>
    </row>
    <row r="278" spans="1:2" x14ac:dyDescent="0.35">
      <c r="A278" s="2">
        <v>275</v>
      </c>
      <c r="B278" s="7">
        <v>3.96</v>
      </c>
    </row>
    <row r="279" spans="1:2" x14ac:dyDescent="0.35">
      <c r="A279" s="2">
        <v>276</v>
      </c>
      <c r="B279" s="7">
        <v>3.73</v>
      </c>
    </row>
    <row r="280" spans="1:2" x14ac:dyDescent="0.35">
      <c r="A280" s="2">
        <v>277</v>
      </c>
      <c r="B280" s="7">
        <v>3.9</v>
      </c>
    </row>
    <row r="281" spans="1:2" x14ac:dyDescent="0.35">
      <c r="A281" s="2">
        <v>278</v>
      </c>
      <c r="B281" s="7">
        <v>4.1399999999999997</v>
      </c>
    </row>
    <row r="282" spans="1:2" x14ac:dyDescent="0.35">
      <c r="A282" s="2">
        <v>279</v>
      </c>
      <c r="B282" s="7">
        <v>4.5999999999999996</v>
      </c>
    </row>
    <row r="283" spans="1:2" x14ac:dyDescent="0.35">
      <c r="A283" s="2">
        <v>280</v>
      </c>
      <c r="B283" s="7">
        <v>4</v>
      </c>
    </row>
    <row r="284" spans="1:2" x14ac:dyDescent="0.35">
      <c r="A284" s="2">
        <v>281</v>
      </c>
      <c r="B284" s="7">
        <v>3.99</v>
      </c>
    </row>
    <row r="285" spans="1:2" x14ac:dyDescent="0.35">
      <c r="A285" s="2">
        <v>282</v>
      </c>
      <c r="B285" s="7">
        <v>3.93</v>
      </c>
    </row>
    <row r="286" spans="1:2" x14ac:dyDescent="0.35">
      <c r="A286" s="2">
        <v>283</v>
      </c>
      <c r="B286" s="7">
        <v>4.22</v>
      </c>
    </row>
    <row r="287" spans="1:2" x14ac:dyDescent="0.35">
      <c r="A287" s="2">
        <v>284</v>
      </c>
      <c r="B287" s="7">
        <v>3.77</v>
      </c>
    </row>
    <row r="288" spans="1:2" x14ac:dyDescent="0.35">
      <c r="A288" s="2">
        <v>285</v>
      </c>
      <c r="B288" s="7">
        <v>4.2300000000000004</v>
      </c>
    </row>
    <row r="289" spans="1:2" x14ac:dyDescent="0.35">
      <c r="A289" s="2">
        <v>286</v>
      </c>
      <c r="B289" s="7">
        <v>4.5599999999999996</v>
      </c>
    </row>
    <row r="290" spans="1:2" x14ac:dyDescent="0.35">
      <c r="A290" s="2">
        <v>287</v>
      </c>
      <c r="B290" s="7">
        <v>3.54</v>
      </c>
    </row>
    <row r="291" spans="1:2" x14ac:dyDescent="0.35">
      <c r="A291" s="2">
        <v>288</v>
      </c>
      <c r="B291" s="7">
        <v>3.51</v>
      </c>
    </row>
    <row r="292" spans="1:2" x14ac:dyDescent="0.35">
      <c r="A292" s="2">
        <v>289</v>
      </c>
      <c r="B292" s="7">
        <v>3.61</v>
      </c>
    </row>
    <row r="293" spans="1:2" x14ac:dyDescent="0.35">
      <c r="A293" s="2">
        <v>290</v>
      </c>
      <c r="B293" s="7">
        <v>4.3</v>
      </c>
    </row>
    <row r="294" spans="1:2" x14ac:dyDescent="0.35">
      <c r="A294" s="2">
        <v>291</v>
      </c>
      <c r="B294" s="7">
        <v>4.78</v>
      </c>
    </row>
    <row r="295" spans="1:2" x14ac:dyDescent="0.35">
      <c r="A295" s="2">
        <v>292</v>
      </c>
      <c r="B295" s="7">
        <v>3.51</v>
      </c>
    </row>
    <row r="296" spans="1:2" x14ac:dyDescent="0.35">
      <c r="A296" s="2">
        <v>293</v>
      </c>
      <c r="B296" s="7">
        <v>4.9000000000000004</v>
      </c>
    </row>
    <row r="297" spans="1:2" x14ac:dyDescent="0.35">
      <c r="A297" s="2">
        <v>294</v>
      </c>
      <c r="B297" s="7">
        <v>3.66</v>
      </c>
    </row>
    <row r="298" spans="1:2" x14ac:dyDescent="0.35">
      <c r="A298" s="2">
        <v>295</v>
      </c>
      <c r="B298" s="7">
        <v>4.76</v>
      </c>
    </row>
    <row r="299" spans="1:2" x14ac:dyDescent="0.35">
      <c r="A299" s="2">
        <v>296</v>
      </c>
      <c r="B299" s="7">
        <v>4.22</v>
      </c>
    </row>
    <row r="300" spans="1:2" x14ac:dyDescent="0.35">
      <c r="A300" s="2">
        <v>297</v>
      </c>
      <c r="B300" s="7">
        <v>4.49</v>
      </c>
    </row>
    <row r="301" spans="1:2" x14ac:dyDescent="0.35">
      <c r="A301" s="2">
        <v>298</v>
      </c>
      <c r="B301" s="7">
        <v>4.2699999999999996</v>
      </c>
    </row>
    <row r="302" spans="1:2" x14ac:dyDescent="0.35">
      <c r="A302" s="2">
        <v>299</v>
      </c>
      <c r="B302" s="7">
        <v>4.22</v>
      </c>
    </row>
    <row r="303" spans="1:2" x14ac:dyDescent="0.35">
      <c r="A303" s="2">
        <v>300</v>
      </c>
      <c r="B303" s="7">
        <v>4.75</v>
      </c>
    </row>
    <row r="304" spans="1:2" x14ac:dyDescent="0.35">
      <c r="A304" s="2">
        <v>301</v>
      </c>
      <c r="B304" s="7">
        <v>4.63</v>
      </c>
    </row>
    <row r="305" spans="1:2" x14ac:dyDescent="0.35">
      <c r="A305" s="2">
        <v>302</v>
      </c>
      <c r="B305" s="7">
        <v>4.2300000000000004</v>
      </c>
    </row>
    <row r="306" spans="1:2" x14ac:dyDescent="0.35">
      <c r="A306" s="2">
        <v>303</v>
      </c>
      <c r="B306" s="7">
        <v>3.67</v>
      </c>
    </row>
    <row r="307" spans="1:2" x14ac:dyDescent="0.35">
      <c r="A307" s="2">
        <v>304</v>
      </c>
      <c r="B307" s="7">
        <v>3.67</v>
      </c>
    </row>
    <row r="308" spans="1:2" x14ac:dyDescent="0.35">
      <c r="A308" s="2">
        <v>305</v>
      </c>
      <c r="B308" s="7">
        <v>4.7</v>
      </c>
    </row>
    <row r="309" spans="1:2" x14ac:dyDescent="0.35">
      <c r="A309" s="2">
        <v>306</v>
      </c>
      <c r="B309" s="7">
        <v>4.29</v>
      </c>
    </row>
    <row r="310" spans="1:2" x14ac:dyDescent="0.35">
      <c r="A310" s="2">
        <v>307</v>
      </c>
      <c r="B310" s="7">
        <v>4.22</v>
      </c>
    </row>
    <row r="311" spans="1:2" x14ac:dyDescent="0.35">
      <c r="A311" s="2">
        <v>308</v>
      </c>
      <c r="B311" s="7">
        <v>4.5199999999999996</v>
      </c>
    </row>
    <row r="312" spans="1:2" x14ac:dyDescent="0.35">
      <c r="A312" s="2">
        <v>309</v>
      </c>
      <c r="B312" s="7">
        <v>4.79</v>
      </c>
    </row>
    <row r="313" spans="1:2" x14ac:dyDescent="0.35">
      <c r="A313" s="2">
        <v>310</v>
      </c>
      <c r="B313" s="7">
        <v>4.4400000000000004</v>
      </c>
    </row>
    <row r="314" spans="1:2" x14ac:dyDescent="0.35">
      <c r="A314" s="2">
        <v>311</v>
      </c>
      <c r="B314" s="7">
        <v>4.6399999999999997</v>
      </c>
    </row>
    <row r="315" spans="1:2" x14ac:dyDescent="0.35">
      <c r="A315" s="2">
        <v>312</v>
      </c>
      <c r="B315" s="7">
        <v>4.6500000000000004</v>
      </c>
    </row>
    <row r="316" spans="1:2" x14ac:dyDescent="0.35">
      <c r="A316" s="2">
        <v>313</v>
      </c>
      <c r="B316" s="7">
        <v>4.03</v>
      </c>
    </row>
    <row r="317" spans="1:2" x14ac:dyDescent="0.35">
      <c r="A317" s="2">
        <v>314</v>
      </c>
      <c r="B317" s="7">
        <v>3.91</v>
      </c>
    </row>
    <row r="318" spans="1:2" x14ac:dyDescent="0.35">
      <c r="A318" s="2">
        <v>315</v>
      </c>
      <c r="B318" s="7">
        <v>4.7</v>
      </c>
    </row>
    <row r="319" spans="1:2" x14ac:dyDescent="0.35">
      <c r="A319" s="2">
        <v>316</v>
      </c>
      <c r="B319" s="7">
        <v>4.07</v>
      </c>
    </row>
    <row r="320" spans="1:2" x14ac:dyDescent="0.35">
      <c r="A320" s="2">
        <v>317</v>
      </c>
      <c r="B320" s="7">
        <v>4.8600000000000003</v>
      </c>
    </row>
    <row r="321" spans="1:2" x14ac:dyDescent="0.35">
      <c r="A321" s="2">
        <v>318</v>
      </c>
      <c r="B321" s="7">
        <v>3.6</v>
      </c>
    </row>
    <row r="322" spans="1:2" x14ac:dyDescent="0.35">
      <c r="A322" s="2">
        <v>319</v>
      </c>
      <c r="B322" s="7">
        <v>3.59</v>
      </c>
    </row>
    <row r="323" spans="1:2" x14ac:dyDescent="0.35">
      <c r="A323" s="2">
        <v>320</v>
      </c>
      <c r="B323" s="7">
        <v>4.8899999999999997</v>
      </c>
    </row>
    <row r="324" spans="1:2" x14ac:dyDescent="0.35">
      <c r="A324" s="2">
        <v>321</v>
      </c>
      <c r="B324" s="7">
        <v>4.47</v>
      </c>
    </row>
    <row r="325" spans="1:2" x14ac:dyDescent="0.35">
      <c r="A325" s="2">
        <v>322</v>
      </c>
      <c r="B325" s="7">
        <v>4.07</v>
      </c>
    </row>
    <row r="326" spans="1:2" x14ac:dyDescent="0.35">
      <c r="A326" s="2">
        <v>323</v>
      </c>
      <c r="B326" s="7">
        <v>4.63</v>
      </c>
    </row>
    <row r="327" spans="1:2" x14ac:dyDescent="0.35">
      <c r="A327" s="2">
        <v>324</v>
      </c>
      <c r="B327" s="7">
        <v>4.51</v>
      </c>
    </row>
    <row r="328" spans="1:2" x14ac:dyDescent="0.35">
      <c r="A328" s="2">
        <v>325</v>
      </c>
      <c r="B328" s="7">
        <v>4.3</v>
      </c>
    </row>
    <row r="329" spans="1:2" x14ac:dyDescent="0.35">
      <c r="A329" s="2">
        <v>326</v>
      </c>
      <c r="B329" s="7">
        <v>3.65</v>
      </c>
    </row>
    <row r="330" spans="1:2" x14ac:dyDescent="0.35">
      <c r="A330" s="2">
        <v>327</v>
      </c>
      <c r="B330" s="7">
        <v>4.72</v>
      </c>
    </row>
    <row r="331" spans="1:2" x14ac:dyDescent="0.35">
      <c r="A331" s="2">
        <v>328</v>
      </c>
      <c r="B331" s="7">
        <v>4.8</v>
      </c>
    </row>
    <row r="332" spans="1:2" x14ac:dyDescent="0.35">
      <c r="A332" s="2">
        <v>329</v>
      </c>
      <c r="B332" s="7">
        <v>3.76</v>
      </c>
    </row>
    <row r="333" spans="1:2" x14ac:dyDescent="0.35">
      <c r="A333" s="2">
        <v>330</v>
      </c>
      <c r="B333" s="7">
        <v>4.78</v>
      </c>
    </row>
    <row r="334" spans="1:2" x14ac:dyDescent="0.35">
      <c r="A334" s="2">
        <v>331</v>
      </c>
      <c r="B334" s="7">
        <v>4.82</v>
      </c>
    </row>
    <row r="335" spans="1:2" x14ac:dyDescent="0.35">
      <c r="A335" s="2">
        <v>332</v>
      </c>
      <c r="B335" s="7">
        <v>4.32</v>
      </c>
    </row>
    <row r="336" spans="1:2" x14ac:dyDescent="0.35">
      <c r="A336" s="2">
        <v>333</v>
      </c>
      <c r="B336" s="7">
        <v>4.4800000000000004</v>
      </c>
    </row>
    <row r="337" spans="1:2" x14ac:dyDescent="0.35">
      <c r="A337" s="2">
        <v>334</v>
      </c>
      <c r="B337" s="7">
        <v>4.07</v>
      </c>
    </row>
    <row r="338" spans="1:2" x14ac:dyDescent="0.35">
      <c r="A338" s="2">
        <v>335</v>
      </c>
      <c r="B338" s="7">
        <v>3.92</v>
      </c>
    </row>
    <row r="339" spans="1:2" x14ac:dyDescent="0.35">
      <c r="A339" s="2">
        <v>336</v>
      </c>
      <c r="B339" s="7">
        <v>4.58</v>
      </c>
    </row>
    <row r="340" spans="1:2" x14ac:dyDescent="0.35">
      <c r="A340" s="2">
        <v>337</v>
      </c>
      <c r="B340" s="7">
        <v>4.79</v>
      </c>
    </row>
    <row r="341" spans="1:2" x14ac:dyDescent="0.35">
      <c r="A341" s="2">
        <v>338</v>
      </c>
      <c r="B341" s="7">
        <v>4.4800000000000004</v>
      </c>
    </row>
    <row r="342" spans="1:2" x14ac:dyDescent="0.35">
      <c r="A342" s="2">
        <v>339</v>
      </c>
      <c r="B342" s="7">
        <v>4.2699999999999996</v>
      </c>
    </row>
    <row r="343" spans="1:2" x14ac:dyDescent="0.35">
      <c r="A343" s="2">
        <v>340</v>
      </c>
      <c r="B343" s="7">
        <v>3.74</v>
      </c>
    </row>
    <row r="344" spans="1:2" x14ac:dyDescent="0.35">
      <c r="A344" s="2">
        <v>341</v>
      </c>
      <c r="B344" s="7">
        <v>3.58</v>
      </c>
    </row>
    <row r="345" spans="1:2" x14ac:dyDescent="0.35">
      <c r="A345" s="2">
        <v>342</v>
      </c>
      <c r="B345" s="7">
        <v>4.17</v>
      </c>
    </row>
    <row r="346" spans="1:2" x14ac:dyDescent="0.35">
      <c r="A346" s="2">
        <v>343</v>
      </c>
      <c r="B346" s="7">
        <v>3.57</v>
      </c>
    </row>
    <row r="347" spans="1:2" x14ac:dyDescent="0.35">
      <c r="A347" s="2">
        <v>344</v>
      </c>
      <c r="B347" s="7">
        <v>4.3499999999999996</v>
      </c>
    </row>
    <row r="348" spans="1:2" x14ac:dyDescent="0.35">
      <c r="A348" s="2">
        <v>345</v>
      </c>
      <c r="B348" s="7">
        <v>4.07</v>
      </c>
    </row>
    <row r="349" spans="1:2" x14ac:dyDescent="0.35">
      <c r="A349" s="2">
        <v>346</v>
      </c>
      <c r="B349" s="7">
        <v>4.6399999999999997</v>
      </c>
    </row>
    <row r="350" spans="1:2" x14ac:dyDescent="0.35">
      <c r="A350" s="2">
        <v>347</v>
      </c>
      <c r="B350" s="7">
        <v>3.96</v>
      </c>
    </row>
    <row r="351" spans="1:2" x14ac:dyDescent="0.35">
      <c r="A351" s="2">
        <v>348</v>
      </c>
      <c r="B351" s="7">
        <v>4.3899999999999997</v>
      </c>
    </row>
    <row r="352" spans="1:2" x14ac:dyDescent="0.35">
      <c r="A352" s="2">
        <v>349</v>
      </c>
      <c r="B352" s="7">
        <v>4.3099999999999996</v>
      </c>
    </row>
    <row r="353" spans="1:2" x14ac:dyDescent="0.35">
      <c r="A353" s="2">
        <v>350</v>
      </c>
      <c r="B353" s="7">
        <v>3.51</v>
      </c>
    </row>
    <row r="354" spans="1:2" x14ac:dyDescent="0.35">
      <c r="A354" s="2">
        <v>351</v>
      </c>
      <c r="B354" s="7">
        <v>3.61</v>
      </c>
    </row>
    <row r="355" spans="1:2" x14ac:dyDescent="0.35">
      <c r="A355" s="2">
        <v>352</v>
      </c>
      <c r="B355" s="7">
        <v>3.94</v>
      </c>
    </row>
    <row r="356" spans="1:2" x14ac:dyDescent="0.35">
      <c r="A356" s="2">
        <v>353</v>
      </c>
      <c r="B356" s="7">
        <v>4.82</v>
      </c>
    </row>
    <row r="357" spans="1:2" x14ac:dyDescent="0.35">
      <c r="A357" s="2">
        <v>354</v>
      </c>
      <c r="B357" s="7">
        <v>3.72</v>
      </c>
    </row>
    <row r="358" spans="1:2" x14ac:dyDescent="0.35">
      <c r="A358" s="2">
        <v>355</v>
      </c>
      <c r="B358" s="7">
        <v>4.57</v>
      </c>
    </row>
    <row r="359" spans="1:2" x14ac:dyDescent="0.35">
      <c r="A359" s="2">
        <v>356</v>
      </c>
      <c r="B359" s="7">
        <v>4.96</v>
      </c>
    </row>
    <row r="360" spans="1:2" x14ac:dyDescent="0.35">
      <c r="A360" s="2">
        <v>357</v>
      </c>
      <c r="B360" s="7">
        <v>4.6900000000000004</v>
      </c>
    </row>
    <row r="361" spans="1:2" x14ac:dyDescent="0.35">
      <c r="A361" s="2">
        <v>358</v>
      </c>
      <c r="B361" s="7">
        <v>3.86</v>
      </c>
    </row>
    <row r="362" spans="1:2" x14ac:dyDescent="0.35">
      <c r="A362" s="2">
        <v>359</v>
      </c>
      <c r="B362" s="7">
        <v>4.8600000000000003</v>
      </c>
    </row>
    <row r="363" spans="1:2" x14ac:dyDescent="0.35">
      <c r="A363" s="2">
        <v>360</v>
      </c>
      <c r="B363" s="7">
        <v>3.64</v>
      </c>
    </row>
    <row r="364" spans="1:2" x14ac:dyDescent="0.35">
      <c r="A364" s="2">
        <v>361</v>
      </c>
      <c r="B364" s="7">
        <v>4.2</v>
      </c>
    </row>
    <row r="365" spans="1:2" x14ac:dyDescent="0.35">
      <c r="A365" s="2">
        <v>362</v>
      </c>
      <c r="B365" s="7">
        <v>4.83</v>
      </c>
    </row>
    <row r="366" spans="1:2" x14ac:dyDescent="0.35">
      <c r="A366" s="2">
        <v>363</v>
      </c>
      <c r="B366" s="7">
        <v>4.46</v>
      </c>
    </row>
    <row r="367" spans="1:2" x14ac:dyDescent="0.35">
      <c r="A367" s="2">
        <v>364</v>
      </c>
      <c r="B367" s="7">
        <v>4.12</v>
      </c>
    </row>
    <row r="368" spans="1:2" x14ac:dyDescent="0.35">
      <c r="A368" s="2">
        <v>365</v>
      </c>
      <c r="B368" s="7">
        <v>3.94</v>
      </c>
    </row>
    <row r="369" spans="1:2" x14ac:dyDescent="0.35">
      <c r="A369" s="2">
        <v>366</v>
      </c>
      <c r="B369" s="7">
        <v>4.0599999999999996</v>
      </c>
    </row>
    <row r="370" spans="1:2" x14ac:dyDescent="0.35">
      <c r="A370" s="2">
        <v>367</v>
      </c>
      <c r="B370" s="7">
        <v>4.26</v>
      </c>
    </row>
    <row r="371" spans="1:2" x14ac:dyDescent="0.35">
      <c r="A371" s="2">
        <v>368</v>
      </c>
      <c r="B371" s="7">
        <v>3.98</v>
      </c>
    </row>
    <row r="372" spans="1:2" x14ac:dyDescent="0.35">
      <c r="A372" s="2">
        <v>369</v>
      </c>
      <c r="B372" s="7">
        <v>4.95</v>
      </c>
    </row>
    <row r="373" spans="1:2" x14ac:dyDescent="0.35">
      <c r="A373" s="2">
        <v>370</v>
      </c>
      <c r="B373" s="7">
        <v>4.9000000000000004</v>
      </c>
    </row>
    <row r="374" spans="1:2" x14ac:dyDescent="0.35">
      <c r="A374" s="2">
        <v>371</v>
      </c>
      <c r="B374" s="7">
        <v>4.8099999999999996</v>
      </c>
    </row>
    <row r="375" spans="1:2" x14ac:dyDescent="0.35">
      <c r="A375" s="2">
        <v>372</v>
      </c>
      <c r="B375" s="7">
        <v>4.13</v>
      </c>
    </row>
    <row r="376" spans="1:2" x14ac:dyDescent="0.35">
      <c r="A376" s="2">
        <v>373</v>
      </c>
      <c r="B376" s="7">
        <v>4.54</v>
      </c>
    </row>
    <row r="377" spans="1:2" x14ac:dyDescent="0.35">
      <c r="A377" s="2">
        <v>374</v>
      </c>
      <c r="B377" s="7">
        <v>4.8499999999999996</v>
      </c>
    </row>
    <row r="378" spans="1:2" x14ac:dyDescent="0.35">
      <c r="A378" s="2">
        <v>375</v>
      </c>
      <c r="B378" s="7">
        <v>4.78</v>
      </c>
    </row>
    <row r="379" spans="1:2" x14ac:dyDescent="0.35">
      <c r="A379" s="2">
        <v>376</v>
      </c>
      <c r="B379" s="7">
        <v>4.12</v>
      </c>
    </row>
    <row r="380" spans="1:2" x14ac:dyDescent="0.35">
      <c r="A380" s="2">
        <v>377</v>
      </c>
      <c r="B380" s="7">
        <v>3.67</v>
      </c>
    </row>
    <row r="381" spans="1:2" x14ac:dyDescent="0.35">
      <c r="A381" s="2">
        <v>378</v>
      </c>
      <c r="B381" s="7">
        <v>3.61</v>
      </c>
    </row>
    <row r="382" spans="1:2" x14ac:dyDescent="0.35">
      <c r="A382" s="2">
        <v>379</v>
      </c>
      <c r="B382" s="7">
        <v>4.37</v>
      </c>
    </row>
    <row r="383" spans="1:2" x14ac:dyDescent="0.35">
      <c r="A383" s="2">
        <v>380</v>
      </c>
      <c r="B383" s="7">
        <v>4.46</v>
      </c>
    </row>
    <row r="384" spans="1:2" x14ac:dyDescent="0.35">
      <c r="A384" s="2">
        <v>381</v>
      </c>
      <c r="B384" s="7">
        <v>4.7699999999999996</v>
      </c>
    </row>
    <row r="385" spans="1:2" x14ac:dyDescent="0.35">
      <c r="A385" s="2">
        <v>382</v>
      </c>
      <c r="B385" s="7">
        <v>3.94</v>
      </c>
    </row>
    <row r="386" spans="1:2" x14ac:dyDescent="0.35">
      <c r="A386" s="2">
        <v>383</v>
      </c>
      <c r="B386" s="7">
        <v>3.75</v>
      </c>
    </row>
    <row r="387" spans="1:2" x14ac:dyDescent="0.35">
      <c r="A387" s="2">
        <v>384</v>
      </c>
      <c r="B387" s="7">
        <v>4.07</v>
      </c>
    </row>
    <row r="388" spans="1:2" x14ac:dyDescent="0.35">
      <c r="A388" s="2">
        <v>385</v>
      </c>
      <c r="B388" s="7">
        <v>4.03</v>
      </c>
    </row>
    <row r="389" spans="1:2" x14ac:dyDescent="0.35">
      <c r="A389" s="2">
        <v>386</v>
      </c>
      <c r="B389" s="7">
        <v>3.7</v>
      </c>
    </row>
    <row r="390" spans="1:2" x14ac:dyDescent="0.35">
      <c r="A390" s="2">
        <v>387</v>
      </c>
      <c r="B390" s="7">
        <v>4.51</v>
      </c>
    </row>
    <row r="391" spans="1:2" x14ac:dyDescent="0.35">
      <c r="A391" s="2">
        <v>388</v>
      </c>
      <c r="B391" s="7">
        <v>4.26</v>
      </c>
    </row>
    <row r="392" spans="1:2" x14ac:dyDescent="0.35">
      <c r="A392" s="2">
        <v>389</v>
      </c>
      <c r="B392" s="7">
        <v>4.58</v>
      </c>
    </row>
    <row r="393" spans="1:2" x14ac:dyDescent="0.35">
      <c r="A393" s="2">
        <v>390</v>
      </c>
      <c r="B393" s="7">
        <v>4.03</v>
      </c>
    </row>
    <row r="394" spans="1:2" x14ac:dyDescent="0.35">
      <c r="A394" s="2">
        <v>391</v>
      </c>
      <c r="B394" s="7">
        <v>3.99</v>
      </c>
    </row>
    <row r="395" spans="1:2" x14ac:dyDescent="0.35">
      <c r="A395" s="2">
        <v>392</v>
      </c>
      <c r="B395" s="7">
        <v>4.21</v>
      </c>
    </row>
    <row r="396" spans="1:2" x14ac:dyDescent="0.35">
      <c r="A396" s="2">
        <v>393</v>
      </c>
      <c r="B396" s="7">
        <v>4.82</v>
      </c>
    </row>
    <row r="397" spans="1:2" x14ac:dyDescent="0.35">
      <c r="A397" s="2">
        <v>394</v>
      </c>
      <c r="B397" s="7">
        <v>3.56</v>
      </c>
    </row>
    <row r="398" spans="1:2" x14ac:dyDescent="0.35">
      <c r="A398" s="2">
        <v>395</v>
      </c>
      <c r="B398" s="7">
        <v>4.71</v>
      </c>
    </row>
    <row r="399" spans="1:2" x14ac:dyDescent="0.35">
      <c r="A399" s="2">
        <v>396</v>
      </c>
      <c r="B399" s="7">
        <v>4.05</v>
      </c>
    </row>
    <row r="400" spans="1:2" x14ac:dyDescent="0.35">
      <c r="A400" s="2">
        <v>397</v>
      </c>
      <c r="B400" s="7">
        <v>4.78</v>
      </c>
    </row>
    <row r="401" spans="1:2" x14ac:dyDescent="0.35">
      <c r="A401" s="2">
        <v>398</v>
      </c>
      <c r="B401" s="7">
        <v>4.7</v>
      </c>
    </row>
    <row r="402" spans="1:2" x14ac:dyDescent="0.35">
      <c r="A402" s="2">
        <v>399</v>
      </c>
      <c r="B402" s="7">
        <v>4.0199999999999996</v>
      </c>
    </row>
    <row r="403" spans="1:2" x14ac:dyDescent="0.35">
      <c r="A403" s="2">
        <v>400</v>
      </c>
      <c r="B403" s="7">
        <v>4.54</v>
      </c>
    </row>
    <row r="404" spans="1:2" x14ac:dyDescent="0.35">
      <c r="A404" s="2">
        <v>401</v>
      </c>
      <c r="B404" s="7">
        <v>3.74</v>
      </c>
    </row>
    <row r="405" spans="1:2" x14ac:dyDescent="0.35">
      <c r="A405" s="2">
        <v>402</v>
      </c>
      <c r="B405" s="7">
        <v>4.84</v>
      </c>
    </row>
    <row r="406" spans="1:2" x14ac:dyDescent="0.35">
      <c r="A406" s="2">
        <v>403</v>
      </c>
      <c r="B406" s="7">
        <v>4.1100000000000003</v>
      </c>
    </row>
    <row r="407" spans="1:2" x14ac:dyDescent="0.35">
      <c r="A407" s="2">
        <v>404</v>
      </c>
      <c r="B407" s="7">
        <v>4.18</v>
      </c>
    </row>
    <row r="408" spans="1:2" x14ac:dyDescent="0.35">
      <c r="A408" s="2">
        <v>405</v>
      </c>
      <c r="B408" s="7">
        <v>4.5599999999999996</v>
      </c>
    </row>
    <row r="409" spans="1:2" x14ac:dyDescent="0.35">
      <c r="A409" s="2">
        <v>406</v>
      </c>
      <c r="B409" s="7">
        <v>4.7300000000000004</v>
      </c>
    </row>
    <row r="410" spans="1:2" x14ac:dyDescent="0.35">
      <c r="A410" s="2">
        <v>407</v>
      </c>
      <c r="B410" s="7">
        <v>3.85</v>
      </c>
    </row>
    <row r="411" spans="1:2" x14ac:dyDescent="0.35">
      <c r="A411" s="2">
        <v>408</v>
      </c>
      <c r="B411" s="7">
        <v>4.49</v>
      </c>
    </row>
    <row r="412" spans="1:2" x14ac:dyDescent="0.35">
      <c r="A412" s="2">
        <v>409</v>
      </c>
      <c r="B412" s="7">
        <v>4.09</v>
      </c>
    </row>
    <row r="413" spans="1:2" x14ac:dyDescent="0.35">
      <c r="A413" s="2">
        <v>410</v>
      </c>
      <c r="B413" s="7">
        <v>4.05</v>
      </c>
    </row>
    <row r="414" spans="1:2" x14ac:dyDescent="0.35">
      <c r="A414" s="2">
        <v>411</v>
      </c>
      <c r="B414" s="7">
        <v>4.54</v>
      </c>
    </row>
    <row r="415" spans="1:2" x14ac:dyDescent="0.35">
      <c r="A415" s="2">
        <v>412</v>
      </c>
      <c r="B415" s="7">
        <v>4.08</v>
      </c>
    </row>
    <row r="416" spans="1:2" x14ac:dyDescent="0.35">
      <c r="A416" s="2">
        <v>413</v>
      </c>
      <c r="B416" s="7">
        <v>4.0199999999999996</v>
      </c>
    </row>
    <row r="417" spans="1:2" x14ac:dyDescent="0.35">
      <c r="A417" s="2">
        <v>414</v>
      </c>
      <c r="B417" s="7">
        <v>4.75</v>
      </c>
    </row>
    <row r="418" spans="1:2" x14ac:dyDescent="0.35">
      <c r="A418" s="2">
        <v>415</v>
      </c>
      <c r="B418" s="7">
        <v>3.65</v>
      </c>
    </row>
    <row r="419" spans="1:2" x14ac:dyDescent="0.35">
      <c r="A419" s="2">
        <v>416</v>
      </c>
      <c r="B419" s="7">
        <v>4.51</v>
      </c>
    </row>
    <row r="420" spans="1:2" x14ac:dyDescent="0.35">
      <c r="A420" s="2">
        <v>417</v>
      </c>
      <c r="B420" s="7">
        <v>3.87</v>
      </c>
    </row>
    <row r="421" spans="1:2" x14ac:dyDescent="0.35">
      <c r="A421" s="2">
        <v>418</v>
      </c>
      <c r="B421" s="7">
        <v>3.52</v>
      </c>
    </row>
    <row r="422" spans="1:2" x14ac:dyDescent="0.35">
      <c r="A422" s="2">
        <v>419</v>
      </c>
      <c r="B422" s="7">
        <v>3.75</v>
      </c>
    </row>
    <row r="423" spans="1:2" x14ac:dyDescent="0.35">
      <c r="A423" s="2">
        <v>420</v>
      </c>
      <c r="B423" s="7">
        <v>4.41</v>
      </c>
    </row>
    <row r="424" spans="1:2" x14ac:dyDescent="0.35">
      <c r="A424" s="2">
        <v>421</v>
      </c>
      <c r="B424" s="7">
        <v>4.5599999999999996</v>
      </c>
    </row>
    <row r="425" spans="1:2" x14ac:dyDescent="0.35">
      <c r="A425" s="2">
        <v>422</v>
      </c>
      <c r="B425" s="7">
        <v>3.53</v>
      </c>
    </row>
    <row r="426" spans="1:2" x14ac:dyDescent="0.35">
      <c r="A426" s="2">
        <v>423</v>
      </c>
      <c r="B426" s="7">
        <v>3.55</v>
      </c>
    </row>
    <row r="427" spans="1:2" x14ac:dyDescent="0.35">
      <c r="A427" s="2">
        <v>424</v>
      </c>
      <c r="B427" s="7">
        <v>4.8499999999999996</v>
      </c>
    </row>
    <row r="428" spans="1:2" x14ac:dyDescent="0.35">
      <c r="A428" s="2">
        <v>425</v>
      </c>
      <c r="B428" s="7">
        <v>3.61</v>
      </c>
    </row>
    <row r="429" spans="1:2" x14ac:dyDescent="0.35">
      <c r="A429" s="2">
        <v>426</v>
      </c>
      <c r="B429" s="7">
        <v>4.84</v>
      </c>
    </row>
    <row r="430" spans="1:2" x14ac:dyDescent="0.35">
      <c r="A430" s="2">
        <v>427</v>
      </c>
      <c r="B430" s="7">
        <v>3.84</v>
      </c>
    </row>
    <row r="431" spans="1:2" x14ac:dyDescent="0.35">
      <c r="A431" s="2">
        <v>428</v>
      </c>
      <c r="B431" s="7">
        <v>4.6100000000000003</v>
      </c>
    </row>
    <row r="432" spans="1:2" x14ac:dyDescent="0.35">
      <c r="A432" s="2">
        <v>429</v>
      </c>
      <c r="B432" s="7">
        <v>3.96</v>
      </c>
    </row>
    <row r="433" spans="1:2" x14ac:dyDescent="0.35">
      <c r="A433" s="2">
        <v>430</v>
      </c>
      <c r="B433" s="7">
        <v>4.79</v>
      </c>
    </row>
    <row r="434" spans="1:2" x14ac:dyDescent="0.35">
      <c r="A434" s="2">
        <v>431</v>
      </c>
      <c r="B434" s="7">
        <v>4.55</v>
      </c>
    </row>
    <row r="435" spans="1:2" x14ac:dyDescent="0.35">
      <c r="A435" s="2">
        <v>432</v>
      </c>
      <c r="B435" s="7">
        <v>4.0999999999999996</v>
      </c>
    </row>
    <row r="436" spans="1:2" x14ac:dyDescent="0.35">
      <c r="A436" s="2">
        <v>433</v>
      </c>
      <c r="B436" s="7">
        <v>3.61</v>
      </c>
    </row>
    <row r="437" spans="1:2" x14ac:dyDescent="0.35">
      <c r="A437" s="2">
        <v>434</v>
      </c>
      <c r="B437" s="7">
        <v>4.5999999999999996</v>
      </c>
    </row>
    <row r="438" spans="1:2" x14ac:dyDescent="0.35">
      <c r="A438" s="2">
        <v>435</v>
      </c>
      <c r="B438" s="7">
        <v>4.43</v>
      </c>
    </row>
    <row r="439" spans="1:2" x14ac:dyDescent="0.35">
      <c r="A439" s="2">
        <v>436</v>
      </c>
      <c r="B439" s="7">
        <v>3.5</v>
      </c>
    </row>
    <row r="440" spans="1:2" x14ac:dyDescent="0.35">
      <c r="A440" s="2">
        <v>437</v>
      </c>
      <c r="B440" s="7">
        <v>3.51</v>
      </c>
    </row>
    <row r="441" spans="1:2" x14ac:dyDescent="0.35">
      <c r="A441" s="2">
        <v>438</v>
      </c>
      <c r="B441" s="7">
        <v>4.71</v>
      </c>
    </row>
    <row r="442" spans="1:2" x14ac:dyDescent="0.35">
      <c r="A442" s="2">
        <v>439</v>
      </c>
      <c r="B442" s="7">
        <v>3.89</v>
      </c>
    </row>
    <row r="443" spans="1:2" x14ac:dyDescent="0.35">
      <c r="A443" s="2">
        <v>440</v>
      </c>
      <c r="B443" s="7">
        <v>4.45</v>
      </c>
    </row>
    <row r="444" spans="1:2" x14ac:dyDescent="0.35">
      <c r="A444" s="2">
        <v>441</v>
      </c>
      <c r="B444" s="7">
        <v>4.18</v>
      </c>
    </row>
    <row r="445" spans="1:2" x14ac:dyDescent="0.35">
      <c r="A445" s="2">
        <v>442</v>
      </c>
      <c r="B445" s="7">
        <v>4.8</v>
      </c>
    </row>
    <row r="446" spans="1:2" x14ac:dyDescent="0.35">
      <c r="A446" s="2">
        <v>443</v>
      </c>
      <c r="B446" s="7">
        <v>4.88</v>
      </c>
    </row>
    <row r="447" spans="1:2" x14ac:dyDescent="0.35">
      <c r="A447" s="2">
        <v>444</v>
      </c>
      <c r="B447" s="7">
        <v>5</v>
      </c>
    </row>
    <row r="448" spans="1:2" x14ac:dyDescent="0.35">
      <c r="A448" s="2">
        <v>445</v>
      </c>
      <c r="B448" s="7">
        <v>3.73</v>
      </c>
    </row>
    <row r="449" spans="1:2" x14ac:dyDescent="0.35">
      <c r="A449" s="2">
        <v>446</v>
      </c>
      <c r="B449" s="7">
        <v>4.79</v>
      </c>
    </row>
    <row r="450" spans="1:2" x14ac:dyDescent="0.35">
      <c r="A450" s="2">
        <v>447</v>
      </c>
      <c r="B450" s="7">
        <v>3.9</v>
      </c>
    </row>
    <row r="451" spans="1:2" x14ac:dyDescent="0.35">
      <c r="A451" s="2">
        <v>448</v>
      </c>
      <c r="B451" s="7">
        <v>4.3899999999999997</v>
      </c>
    </row>
    <row r="452" spans="1:2" x14ac:dyDescent="0.35">
      <c r="A452" s="2">
        <v>449</v>
      </c>
      <c r="B452" s="7">
        <v>4.26</v>
      </c>
    </row>
    <row r="453" spans="1:2" x14ac:dyDescent="0.35">
      <c r="A453" s="2">
        <v>450</v>
      </c>
      <c r="B453" s="7">
        <v>3.53</v>
      </c>
    </row>
    <row r="454" spans="1:2" x14ac:dyDescent="0.35">
      <c r="A454" s="2">
        <v>451</v>
      </c>
      <c r="B454" s="7">
        <v>4.9000000000000004</v>
      </c>
    </row>
    <row r="455" spans="1:2" x14ac:dyDescent="0.35">
      <c r="A455" s="2">
        <v>452</v>
      </c>
      <c r="B455" s="7">
        <v>3.62</v>
      </c>
    </row>
    <row r="456" spans="1:2" x14ac:dyDescent="0.35">
      <c r="A456" s="2">
        <v>453</v>
      </c>
      <c r="B456" s="7">
        <v>4.53</v>
      </c>
    </row>
    <row r="457" spans="1:2" x14ac:dyDescent="0.35">
      <c r="A457" s="2">
        <v>454</v>
      </c>
      <c r="B457" s="7">
        <v>4.68</v>
      </c>
    </row>
    <row r="458" spans="1:2" x14ac:dyDescent="0.35">
      <c r="A458" s="2">
        <v>455</v>
      </c>
      <c r="B458" s="7">
        <v>4.6900000000000004</v>
      </c>
    </row>
    <row r="459" spans="1:2" x14ac:dyDescent="0.35">
      <c r="A459" s="2">
        <v>456</v>
      </c>
      <c r="B459" s="7">
        <v>3.7</v>
      </c>
    </row>
    <row r="460" spans="1:2" x14ac:dyDescent="0.35">
      <c r="A460" s="2">
        <v>457</v>
      </c>
      <c r="B460" s="7">
        <v>4.17</v>
      </c>
    </row>
    <row r="461" spans="1:2" x14ac:dyDescent="0.35">
      <c r="A461" s="2">
        <v>458</v>
      </c>
      <c r="B461" s="7">
        <v>4.74</v>
      </c>
    </row>
    <row r="462" spans="1:2" x14ac:dyDescent="0.35">
      <c r="A462" s="2">
        <v>459</v>
      </c>
      <c r="B462" s="7">
        <v>3.95</v>
      </c>
    </row>
    <row r="463" spans="1:2" x14ac:dyDescent="0.35">
      <c r="A463" s="2">
        <v>460</v>
      </c>
      <c r="B463" s="7">
        <v>4.2</v>
      </c>
    </row>
    <row r="464" spans="1:2" x14ac:dyDescent="0.35">
      <c r="A464" s="2">
        <v>461</v>
      </c>
      <c r="B464" s="7">
        <v>3.91</v>
      </c>
    </row>
    <row r="465" spans="1:2" x14ac:dyDescent="0.35">
      <c r="A465" s="2">
        <v>462</v>
      </c>
      <c r="B465" s="7">
        <v>4.2</v>
      </c>
    </row>
    <row r="466" spans="1:2" x14ac:dyDescent="0.35">
      <c r="A466" s="2">
        <v>463</v>
      </c>
      <c r="B466" s="7">
        <v>4.83</v>
      </c>
    </row>
    <row r="467" spans="1:2" x14ac:dyDescent="0.35">
      <c r="A467" s="2">
        <v>464</v>
      </c>
      <c r="B467" s="7">
        <v>4.18</v>
      </c>
    </row>
    <row r="468" spans="1:2" x14ac:dyDescent="0.35">
      <c r="A468" s="2">
        <v>465</v>
      </c>
      <c r="B468" s="7">
        <v>4.33</v>
      </c>
    </row>
    <row r="469" spans="1:2" x14ac:dyDescent="0.35">
      <c r="A469" s="2">
        <v>466</v>
      </c>
      <c r="B469" s="7">
        <v>4.1100000000000003</v>
      </c>
    </row>
    <row r="470" spans="1:2" x14ac:dyDescent="0.35">
      <c r="A470" s="2">
        <v>467</v>
      </c>
      <c r="B470" s="7">
        <v>4.1900000000000004</v>
      </c>
    </row>
    <row r="471" spans="1:2" x14ac:dyDescent="0.35">
      <c r="A471" s="2">
        <v>468</v>
      </c>
      <c r="B471" s="7">
        <v>3.52</v>
      </c>
    </row>
    <row r="472" spans="1:2" x14ac:dyDescent="0.35">
      <c r="A472" s="2">
        <v>469</v>
      </c>
      <c r="B472" s="7">
        <v>3.93</v>
      </c>
    </row>
    <row r="473" spans="1:2" x14ac:dyDescent="0.35">
      <c r="A473" s="2">
        <v>470</v>
      </c>
      <c r="B473" s="7">
        <v>4.1500000000000004</v>
      </c>
    </row>
    <row r="474" spans="1:2" x14ac:dyDescent="0.35">
      <c r="A474" s="2">
        <v>471</v>
      </c>
      <c r="B474" s="7">
        <v>4.45</v>
      </c>
    </row>
    <row r="475" spans="1:2" x14ac:dyDescent="0.35">
      <c r="A475" s="2">
        <v>472</v>
      </c>
      <c r="B475" s="7">
        <v>4.18</v>
      </c>
    </row>
    <row r="476" spans="1:2" x14ac:dyDescent="0.35">
      <c r="A476" s="2">
        <v>473</v>
      </c>
      <c r="B476" s="7">
        <v>4.01</v>
      </c>
    </row>
    <row r="477" spans="1:2" x14ac:dyDescent="0.35">
      <c r="A477" s="2">
        <v>474</v>
      </c>
      <c r="B477" s="7">
        <v>4.08</v>
      </c>
    </row>
    <row r="478" spans="1:2" x14ac:dyDescent="0.35">
      <c r="A478" s="2">
        <v>475</v>
      </c>
      <c r="B478" s="7">
        <v>3.86</v>
      </c>
    </row>
    <row r="479" spans="1:2" x14ac:dyDescent="0.35">
      <c r="A479" s="2">
        <v>476</v>
      </c>
      <c r="B479" s="7">
        <v>4.8899999999999997</v>
      </c>
    </row>
    <row r="480" spans="1:2" x14ac:dyDescent="0.35">
      <c r="A480" s="2">
        <v>477</v>
      </c>
      <c r="B480" s="7">
        <v>4.28</v>
      </c>
    </row>
    <row r="481" spans="1:2" x14ac:dyDescent="0.35">
      <c r="A481" s="2">
        <v>478</v>
      </c>
      <c r="B481" s="7">
        <v>3.52</v>
      </c>
    </row>
    <row r="482" spans="1:2" x14ac:dyDescent="0.35">
      <c r="A482" s="2">
        <v>479</v>
      </c>
      <c r="B482" s="7">
        <v>3.53</v>
      </c>
    </row>
    <row r="483" spans="1:2" x14ac:dyDescent="0.35">
      <c r="A483" s="2">
        <v>480</v>
      </c>
      <c r="B483" s="7">
        <v>4.96</v>
      </c>
    </row>
    <row r="484" spans="1:2" x14ac:dyDescent="0.35">
      <c r="A484" s="2">
        <v>481</v>
      </c>
      <c r="B484" s="7">
        <v>3.83</v>
      </c>
    </row>
    <row r="485" spans="1:2" x14ac:dyDescent="0.35">
      <c r="A485" s="2">
        <v>482</v>
      </c>
      <c r="B485" s="7">
        <v>4.71</v>
      </c>
    </row>
    <row r="486" spans="1:2" x14ac:dyDescent="0.35">
      <c r="A486" s="2">
        <v>483</v>
      </c>
      <c r="B486" s="7">
        <v>3.59</v>
      </c>
    </row>
    <row r="487" spans="1:2" x14ac:dyDescent="0.35">
      <c r="A487" s="2">
        <v>484</v>
      </c>
      <c r="B487" s="7">
        <v>4.88</v>
      </c>
    </row>
    <row r="488" spans="1:2" x14ac:dyDescent="0.35">
      <c r="A488" s="2">
        <v>485</v>
      </c>
      <c r="B488" s="7">
        <v>4.8099999999999996</v>
      </c>
    </row>
    <row r="489" spans="1:2" x14ac:dyDescent="0.35">
      <c r="A489" s="2">
        <v>486</v>
      </c>
      <c r="B489" s="7">
        <v>4.3600000000000003</v>
      </c>
    </row>
    <row r="490" spans="1:2" x14ac:dyDescent="0.35">
      <c r="A490" s="2">
        <v>487</v>
      </c>
      <c r="B490" s="7">
        <v>3.51</v>
      </c>
    </row>
    <row r="491" spans="1:2" x14ac:dyDescent="0.35">
      <c r="A491" s="2">
        <v>488</v>
      </c>
      <c r="B491" s="7">
        <v>3.89</v>
      </c>
    </row>
    <row r="492" spans="1:2" x14ac:dyDescent="0.35">
      <c r="A492" s="2">
        <v>489</v>
      </c>
      <c r="B492" s="7">
        <v>4.1100000000000003</v>
      </c>
    </row>
    <row r="493" spans="1:2" x14ac:dyDescent="0.35">
      <c r="A493" s="2">
        <v>490</v>
      </c>
      <c r="B493" s="7">
        <v>4.1900000000000004</v>
      </c>
    </row>
    <row r="494" spans="1:2" x14ac:dyDescent="0.35">
      <c r="A494" s="2">
        <v>491</v>
      </c>
      <c r="B494" s="7">
        <v>3.95</v>
      </c>
    </row>
    <row r="495" spans="1:2" x14ac:dyDescent="0.35">
      <c r="A495" s="2">
        <v>492</v>
      </c>
      <c r="B495" s="7">
        <v>3.55</v>
      </c>
    </row>
    <row r="496" spans="1:2" x14ac:dyDescent="0.35">
      <c r="A496" s="2">
        <v>493</v>
      </c>
      <c r="B496" s="7">
        <v>4.3899999999999997</v>
      </c>
    </row>
    <row r="497" spans="1:2" x14ac:dyDescent="0.35">
      <c r="A497" s="2">
        <v>494</v>
      </c>
      <c r="B497" s="7">
        <v>4.29</v>
      </c>
    </row>
    <row r="498" spans="1:2" x14ac:dyDescent="0.35">
      <c r="A498" s="2">
        <v>495</v>
      </c>
      <c r="B498" s="7">
        <v>3.92</v>
      </c>
    </row>
    <row r="499" spans="1:2" x14ac:dyDescent="0.35">
      <c r="A499" s="2">
        <v>496</v>
      </c>
      <c r="B499" s="7">
        <v>3.56</v>
      </c>
    </row>
    <row r="500" spans="1:2" x14ac:dyDescent="0.35">
      <c r="A500" s="2">
        <v>497</v>
      </c>
      <c r="B500" s="7">
        <v>4.99</v>
      </c>
    </row>
    <row r="501" spans="1:2" x14ac:dyDescent="0.35">
      <c r="A501" s="2">
        <v>498</v>
      </c>
      <c r="B501" s="7">
        <v>4.22</v>
      </c>
    </row>
    <row r="502" spans="1:2" x14ac:dyDescent="0.35">
      <c r="A502" s="2">
        <v>499</v>
      </c>
      <c r="B502" s="7">
        <v>4.63</v>
      </c>
    </row>
    <row r="503" spans="1:2" x14ac:dyDescent="0.35">
      <c r="A503" s="2">
        <v>500</v>
      </c>
      <c r="B503" s="7">
        <v>4.18</v>
      </c>
    </row>
    <row r="504" spans="1:2" x14ac:dyDescent="0.35">
      <c r="A504" s="2">
        <v>501</v>
      </c>
      <c r="B504" s="7">
        <v>3.56</v>
      </c>
    </row>
    <row r="505" spans="1:2" x14ac:dyDescent="0.35">
      <c r="A505" s="2">
        <v>502</v>
      </c>
      <c r="B505" s="7">
        <v>3.96</v>
      </c>
    </row>
    <row r="506" spans="1:2" x14ac:dyDescent="0.35">
      <c r="A506" s="2">
        <v>503</v>
      </c>
      <c r="B506" s="7">
        <v>3.98</v>
      </c>
    </row>
    <row r="507" spans="1:2" x14ac:dyDescent="0.35">
      <c r="A507" s="2">
        <v>504</v>
      </c>
      <c r="B507" s="7">
        <v>4.76</v>
      </c>
    </row>
    <row r="508" spans="1:2" x14ac:dyDescent="0.35">
      <c r="A508" s="2">
        <v>505</v>
      </c>
      <c r="B508" s="7">
        <v>4.4800000000000004</v>
      </c>
    </row>
    <row r="509" spans="1:2" x14ac:dyDescent="0.35">
      <c r="A509" s="2">
        <v>506</v>
      </c>
      <c r="B509" s="7">
        <v>3.91</v>
      </c>
    </row>
    <row r="510" spans="1:2" x14ac:dyDescent="0.35">
      <c r="A510" s="2">
        <v>507</v>
      </c>
      <c r="B510" s="7">
        <v>4.95</v>
      </c>
    </row>
    <row r="511" spans="1:2" x14ac:dyDescent="0.35">
      <c r="A511" s="2">
        <v>508</v>
      </c>
      <c r="B511" s="7">
        <v>3.98</v>
      </c>
    </row>
    <row r="512" spans="1:2" x14ac:dyDescent="0.35">
      <c r="A512" s="2">
        <v>509</v>
      </c>
      <c r="B512" s="7">
        <v>5</v>
      </c>
    </row>
    <row r="513" spans="1:2" x14ac:dyDescent="0.35">
      <c r="A513" s="2">
        <v>510</v>
      </c>
      <c r="B513" s="7">
        <v>4.99</v>
      </c>
    </row>
    <row r="514" spans="1:2" x14ac:dyDescent="0.35">
      <c r="A514" s="2">
        <v>511</v>
      </c>
      <c r="B514" s="7">
        <v>3.79</v>
      </c>
    </row>
    <row r="515" spans="1:2" x14ac:dyDescent="0.35">
      <c r="A515" s="2">
        <v>512</v>
      </c>
      <c r="B515" s="7">
        <v>3.97</v>
      </c>
    </row>
    <row r="516" spans="1:2" x14ac:dyDescent="0.35">
      <c r="A516" s="2">
        <v>513</v>
      </c>
      <c r="B516" s="7">
        <v>4.2300000000000004</v>
      </c>
    </row>
    <row r="517" spans="1:2" x14ac:dyDescent="0.35">
      <c r="A517" s="2">
        <v>514</v>
      </c>
      <c r="B517" s="7">
        <v>4.5</v>
      </c>
    </row>
    <row r="518" spans="1:2" x14ac:dyDescent="0.35">
      <c r="A518" s="2">
        <v>515</v>
      </c>
      <c r="B518" s="7">
        <v>4.29</v>
      </c>
    </row>
    <row r="519" spans="1:2" x14ac:dyDescent="0.35">
      <c r="A519" s="2">
        <v>516</v>
      </c>
      <c r="B519" s="7">
        <v>4.95</v>
      </c>
    </row>
    <row r="520" spans="1:2" x14ac:dyDescent="0.35">
      <c r="A520" s="2">
        <v>517</v>
      </c>
      <c r="B520" s="7">
        <v>4.59</v>
      </c>
    </row>
    <row r="521" spans="1:2" x14ac:dyDescent="0.35">
      <c r="A521" s="2">
        <v>518</v>
      </c>
      <c r="B521" s="7">
        <v>3.82</v>
      </c>
    </row>
    <row r="522" spans="1:2" x14ac:dyDescent="0.35">
      <c r="A522" s="2">
        <v>519</v>
      </c>
      <c r="B522" s="7">
        <v>3.66</v>
      </c>
    </row>
    <row r="523" spans="1:2" x14ac:dyDescent="0.35">
      <c r="A523" s="2">
        <v>520</v>
      </c>
      <c r="B523" s="7">
        <v>4.53</v>
      </c>
    </row>
    <row r="524" spans="1:2" x14ac:dyDescent="0.35">
      <c r="A524" s="2">
        <v>521</v>
      </c>
      <c r="B524" s="7">
        <v>3.74</v>
      </c>
    </row>
    <row r="525" spans="1:2" x14ac:dyDescent="0.35">
      <c r="A525" s="2">
        <v>522</v>
      </c>
      <c r="B525" s="7">
        <v>4.68</v>
      </c>
    </row>
    <row r="526" spans="1:2" x14ac:dyDescent="0.35">
      <c r="A526" s="2">
        <v>523</v>
      </c>
      <c r="B526" s="7">
        <v>3.97</v>
      </c>
    </row>
    <row r="527" spans="1:2" x14ac:dyDescent="0.35">
      <c r="A527" s="2">
        <v>524</v>
      </c>
      <c r="B527" s="7">
        <v>3.99</v>
      </c>
    </row>
    <row r="528" spans="1:2" x14ac:dyDescent="0.35">
      <c r="A528" s="2">
        <v>525</v>
      </c>
      <c r="B528" s="7">
        <v>3.52</v>
      </c>
    </row>
    <row r="529" spans="1:2" x14ac:dyDescent="0.35">
      <c r="A529" s="2">
        <v>526</v>
      </c>
      <c r="B529" s="7">
        <v>4.55</v>
      </c>
    </row>
    <row r="530" spans="1:2" x14ac:dyDescent="0.35">
      <c r="A530" s="2">
        <v>527</v>
      </c>
      <c r="B530" s="7">
        <v>3.67</v>
      </c>
    </row>
    <row r="531" spans="1:2" x14ac:dyDescent="0.35">
      <c r="A531" s="2">
        <v>528</v>
      </c>
      <c r="B531" s="7">
        <v>4.66</v>
      </c>
    </row>
    <row r="532" spans="1:2" x14ac:dyDescent="0.35">
      <c r="A532" s="2">
        <v>529</v>
      </c>
      <c r="B532" s="7">
        <v>4.24</v>
      </c>
    </row>
    <row r="533" spans="1:2" x14ac:dyDescent="0.35">
      <c r="A533" s="2">
        <v>530</v>
      </c>
      <c r="B533" s="7">
        <v>4.68</v>
      </c>
    </row>
    <row r="534" spans="1:2" x14ac:dyDescent="0.35">
      <c r="A534" s="2">
        <v>531</v>
      </c>
      <c r="B534" s="7">
        <v>4.38</v>
      </c>
    </row>
    <row r="535" spans="1:2" x14ac:dyDescent="0.35">
      <c r="A535" s="2">
        <v>532</v>
      </c>
      <c r="B535" s="7">
        <v>3.62</v>
      </c>
    </row>
    <row r="536" spans="1:2" x14ac:dyDescent="0.35">
      <c r="A536" s="2">
        <v>533</v>
      </c>
      <c r="B536" s="7">
        <v>4.6500000000000004</v>
      </c>
    </row>
    <row r="537" spans="1:2" x14ac:dyDescent="0.35">
      <c r="A537" s="2">
        <v>534</v>
      </c>
      <c r="B537" s="7">
        <v>3.6</v>
      </c>
    </row>
    <row r="538" spans="1:2" x14ac:dyDescent="0.35">
      <c r="A538" s="2">
        <v>535</v>
      </c>
      <c r="B538" s="7">
        <v>4.22</v>
      </c>
    </row>
    <row r="539" spans="1:2" x14ac:dyDescent="0.35">
      <c r="A539" s="2">
        <v>536</v>
      </c>
      <c r="B539" s="7">
        <v>3.76</v>
      </c>
    </row>
    <row r="540" spans="1:2" x14ac:dyDescent="0.35">
      <c r="A540" s="2">
        <v>537</v>
      </c>
      <c r="B540" s="7">
        <v>4.63</v>
      </c>
    </row>
    <row r="541" spans="1:2" x14ac:dyDescent="0.35">
      <c r="A541" s="2">
        <v>538</v>
      </c>
      <c r="B541" s="7">
        <v>4.87</v>
      </c>
    </row>
    <row r="542" spans="1:2" x14ac:dyDescent="0.35">
      <c r="A542" s="2">
        <v>539</v>
      </c>
      <c r="B542" s="7">
        <v>4.33</v>
      </c>
    </row>
    <row r="543" spans="1:2" x14ac:dyDescent="0.35">
      <c r="A543" s="2">
        <v>540</v>
      </c>
      <c r="B543" s="7">
        <v>4.29</v>
      </c>
    </row>
    <row r="544" spans="1:2" x14ac:dyDescent="0.35">
      <c r="A544" s="2">
        <v>541</v>
      </c>
      <c r="B544" s="7">
        <v>4.6500000000000004</v>
      </c>
    </row>
    <row r="545" spans="1:2" x14ac:dyDescent="0.35">
      <c r="A545" s="2">
        <v>542</v>
      </c>
      <c r="B545" s="7">
        <v>3.51</v>
      </c>
    </row>
    <row r="546" spans="1:2" x14ac:dyDescent="0.35">
      <c r="A546" s="2">
        <v>543</v>
      </c>
      <c r="B546" s="7">
        <v>4.88</v>
      </c>
    </row>
    <row r="547" spans="1:2" x14ac:dyDescent="0.35">
      <c r="A547" s="2">
        <v>544</v>
      </c>
      <c r="B547" s="7">
        <v>3.8</v>
      </c>
    </row>
    <row r="548" spans="1:2" x14ac:dyDescent="0.35">
      <c r="A548" s="2">
        <v>545</v>
      </c>
      <c r="B548" s="7">
        <v>4.9800000000000004</v>
      </c>
    </row>
    <row r="549" spans="1:2" x14ac:dyDescent="0.35">
      <c r="A549" s="2">
        <v>546</v>
      </c>
      <c r="B549" s="7">
        <v>4.5999999999999996</v>
      </c>
    </row>
    <row r="550" spans="1:2" x14ac:dyDescent="0.35">
      <c r="A550" s="2">
        <v>547</v>
      </c>
      <c r="B550" s="7">
        <v>4.66</v>
      </c>
    </row>
    <row r="551" spans="1:2" x14ac:dyDescent="0.35">
      <c r="A551" s="2">
        <v>548</v>
      </c>
      <c r="B551" s="7">
        <v>4.4800000000000004</v>
      </c>
    </row>
    <row r="552" spans="1:2" x14ac:dyDescent="0.35">
      <c r="A552" s="2">
        <v>549</v>
      </c>
      <c r="B552" s="7">
        <v>4.21</v>
      </c>
    </row>
    <row r="553" spans="1:2" x14ac:dyDescent="0.35">
      <c r="A553" s="2">
        <v>550</v>
      </c>
      <c r="B553" s="7">
        <v>4.3600000000000003</v>
      </c>
    </row>
    <row r="554" spans="1:2" x14ac:dyDescent="0.35">
      <c r="A554" s="2">
        <v>551</v>
      </c>
      <c r="B554" s="7">
        <v>3.57</v>
      </c>
    </row>
    <row r="555" spans="1:2" x14ac:dyDescent="0.35">
      <c r="A555" s="2">
        <v>552</v>
      </c>
      <c r="B555" s="7">
        <v>4.4400000000000004</v>
      </c>
    </row>
    <row r="556" spans="1:2" x14ac:dyDescent="0.35">
      <c r="A556" s="2">
        <v>553</v>
      </c>
      <c r="B556" s="7">
        <v>4.4400000000000004</v>
      </c>
    </row>
    <row r="557" spans="1:2" x14ac:dyDescent="0.35">
      <c r="A557" s="2">
        <v>554</v>
      </c>
      <c r="B557" s="7">
        <v>4.84</v>
      </c>
    </row>
    <row r="558" spans="1:2" x14ac:dyDescent="0.35">
      <c r="A558" s="2">
        <v>555</v>
      </c>
      <c r="B558" s="7">
        <v>4.26</v>
      </c>
    </row>
    <row r="559" spans="1:2" x14ac:dyDescent="0.35">
      <c r="A559" s="2">
        <v>556</v>
      </c>
      <c r="B559" s="7">
        <v>3.62</v>
      </c>
    </row>
    <row r="560" spans="1:2" x14ac:dyDescent="0.35">
      <c r="A560" s="2">
        <v>557</v>
      </c>
      <c r="B560" s="7">
        <v>3.96</v>
      </c>
    </row>
    <row r="561" spans="1:2" x14ac:dyDescent="0.35">
      <c r="A561" s="2">
        <v>558</v>
      </c>
      <c r="B561" s="7">
        <v>4.4800000000000004</v>
      </c>
    </row>
    <row r="562" spans="1:2" x14ac:dyDescent="0.35">
      <c r="A562" s="2">
        <v>559</v>
      </c>
      <c r="B562" s="7">
        <v>3.86</v>
      </c>
    </row>
    <row r="563" spans="1:2" x14ac:dyDescent="0.35">
      <c r="A563" s="2">
        <v>560</v>
      </c>
      <c r="B563" s="7">
        <v>3.92</v>
      </c>
    </row>
    <row r="564" spans="1:2" x14ac:dyDescent="0.35">
      <c r="A564" s="2">
        <v>561</v>
      </c>
      <c r="B564" s="7">
        <v>4.7300000000000004</v>
      </c>
    </row>
    <row r="565" spans="1:2" x14ac:dyDescent="0.35">
      <c r="A565" s="2">
        <v>562</v>
      </c>
      <c r="B565" s="7">
        <v>4.38</v>
      </c>
    </row>
    <row r="566" spans="1:2" x14ac:dyDescent="0.35">
      <c r="A566" s="2">
        <v>563</v>
      </c>
      <c r="B566" s="7">
        <v>4.26</v>
      </c>
    </row>
    <row r="567" spans="1:2" x14ac:dyDescent="0.35">
      <c r="A567" s="2">
        <v>564</v>
      </c>
      <c r="B567" s="7">
        <v>3.98</v>
      </c>
    </row>
    <row r="568" spans="1:2" x14ac:dyDescent="0.35">
      <c r="A568" s="2">
        <v>565</v>
      </c>
      <c r="B568" s="7">
        <v>4.5999999999999996</v>
      </c>
    </row>
    <row r="569" spans="1:2" x14ac:dyDescent="0.35">
      <c r="A569" s="2">
        <v>566</v>
      </c>
      <c r="B569" s="7">
        <v>3.93</v>
      </c>
    </row>
    <row r="570" spans="1:2" x14ac:dyDescent="0.35">
      <c r="A570" s="2">
        <v>567</v>
      </c>
      <c r="B570" s="7">
        <v>4.6100000000000003</v>
      </c>
    </row>
    <row r="571" spans="1:2" x14ac:dyDescent="0.35">
      <c r="A571" s="2">
        <v>568</v>
      </c>
      <c r="B571" s="7">
        <v>3.61</v>
      </c>
    </row>
    <row r="572" spans="1:2" x14ac:dyDescent="0.35">
      <c r="A572" s="2">
        <v>569</v>
      </c>
      <c r="B572" s="7">
        <v>4.8</v>
      </c>
    </row>
    <row r="573" spans="1:2" x14ac:dyDescent="0.35">
      <c r="A573" s="2">
        <v>570</v>
      </c>
      <c r="B573" s="7">
        <v>4.25</v>
      </c>
    </row>
    <row r="574" spans="1:2" x14ac:dyDescent="0.35">
      <c r="A574" s="2">
        <v>571</v>
      </c>
      <c r="B574" s="7">
        <v>4.16</v>
      </c>
    </row>
    <row r="575" spans="1:2" x14ac:dyDescent="0.35">
      <c r="A575" s="2">
        <v>572</v>
      </c>
      <c r="B575" s="7">
        <v>4.42</v>
      </c>
    </row>
    <row r="576" spans="1:2" x14ac:dyDescent="0.35">
      <c r="A576" s="2">
        <v>573</v>
      </c>
      <c r="B576" s="7">
        <v>4.4400000000000004</v>
      </c>
    </row>
    <row r="577" spans="1:2" x14ac:dyDescent="0.35">
      <c r="A577" s="2">
        <v>574</v>
      </c>
      <c r="B577" s="7">
        <v>3.7</v>
      </c>
    </row>
    <row r="578" spans="1:2" x14ac:dyDescent="0.35">
      <c r="A578" s="2">
        <v>575</v>
      </c>
      <c r="B578" s="7">
        <v>4.63</v>
      </c>
    </row>
    <row r="579" spans="1:2" x14ac:dyDescent="0.35">
      <c r="A579" s="2">
        <v>576</v>
      </c>
      <c r="B579" s="7">
        <v>3.91</v>
      </c>
    </row>
    <row r="580" spans="1:2" x14ac:dyDescent="0.35">
      <c r="A580" s="2">
        <v>577</v>
      </c>
      <c r="B580" s="7">
        <v>4.8600000000000003</v>
      </c>
    </row>
    <row r="581" spans="1:2" x14ac:dyDescent="0.35">
      <c r="A581" s="2">
        <v>578</v>
      </c>
      <c r="B581" s="7">
        <v>4.7300000000000004</v>
      </c>
    </row>
    <row r="582" spans="1:2" x14ac:dyDescent="0.35">
      <c r="A582" s="2">
        <v>579</v>
      </c>
      <c r="B582" s="7">
        <v>4.0199999999999996</v>
      </c>
    </row>
    <row r="583" spans="1:2" x14ac:dyDescent="0.35">
      <c r="A583" s="2">
        <v>580</v>
      </c>
      <c r="B583" s="7">
        <v>4.71</v>
      </c>
    </row>
    <row r="584" spans="1:2" x14ac:dyDescent="0.35">
      <c r="A584" s="2">
        <v>581</v>
      </c>
      <c r="B584" s="7">
        <v>4.03</v>
      </c>
    </row>
    <row r="585" spans="1:2" x14ac:dyDescent="0.35">
      <c r="A585" s="2">
        <v>582</v>
      </c>
      <c r="B585" s="7">
        <v>3.65</v>
      </c>
    </row>
    <row r="586" spans="1:2" x14ac:dyDescent="0.35">
      <c r="A586" s="2">
        <v>583</v>
      </c>
      <c r="B586" s="7">
        <v>4.9400000000000004</v>
      </c>
    </row>
    <row r="587" spans="1:2" x14ac:dyDescent="0.35">
      <c r="A587" s="2">
        <v>584</v>
      </c>
      <c r="B587" s="7">
        <v>4.4800000000000004</v>
      </c>
    </row>
    <row r="588" spans="1:2" x14ac:dyDescent="0.35">
      <c r="A588" s="2">
        <v>585</v>
      </c>
      <c r="B588" s="7">
        <v>4.18</v>
      </c>
    </row>
    <row r="589" spans="1:2" x14ac:dyDescent="0.35">
      <c r="A589" s="2">
        <v>586</v>
      </c>
      <c r="B589" s="7">
        <v>4.0999999999999996</v>
      </c>
    </row>
    <row r="590" spans="1:2" x14ac:dyDescent="0.35">
      <c r="A590" s="2">
        <v>587</v>
      </c>
      <c r="B590" s="7">
        <v>3.99</v>
      </c>
    </row>
    <row r="591" spans="1:2" x14ac:dyDescent="0.35">
      <c r="A591" s="2">
        <v>588</v>
      </c>
      <c r="B591" s="7">
        <v>4.97</v>
      </c>
    </row>
    <row r="592" spans="1:2" x14ac:dyDescent="0.35">
      <c r="A592" s="2">
        <v>589</v>
      </c>
      <c r="B592" s="7">
        <v>3.7</v>
      </c>
    </row>
    <row r="593" spans="1:2" x14ac:dyDescent="0.35">
      <c r="A593" s="2">
        <v>590</v>
      </c>
      <c r="B593" s="7">
        <v>3.97</v>
      </c>
    </row>
    <row r="594" spans="1:2" x14ac:dyDescent="0.35">
      <c r="A594" s="2">
        <v>591</v>
      </c>
      <c r="B594" s="7">
        <v>4.2300000000000004</v>
      </c>
    </row>
    <row r="595" spans="1:2" x14ac:dyDescent="0.35">
      <c r="A595" s="2">
        <v>592</v>
      </c>
      <c r="B595" s="7">
        <v>4.22</v>
      </c>
    </row>
    <row r="596" spans="1:2" x14ac:dyDescent="0.35">
      <c r="A596" s="2">
        <v>593</v>
      </c>
      <c r="B596" s="7">
        <v>4.21</v>
      </c>
    </row>
    <row r="597" spans="1:2" x14ac:dyDescent="0.35">
      <c r="A597" s="2">
        <v>594</v>
      </c>
      <c r="B597" s="7">
        <v>3.76</v>
      </c>
    </row>
    <row r="598" spans="1:2" x14ac:dyDescent="0.35">
      <c r="A598" s="2">
        <v>595</v>
      </c>
      <c r="B598" s="7">
        <v>3.72</v>
      </c>
    </row>
    <row r="599" spans="1:2" x14ac:dyDescent="0.35">
      <c r="A599" s="2">
        <v>596</v>
      </c>
      <c r="B599" s="7">
        <v>3.88</v>
      </c>
    </row>
    <row r="600" spans="1:2" x14ac:dyDescent="0.35">
      <c r="A600" s="2">
        <v>597</v>
      </c>
      <c r="B600" s="7">
        <v>4.87</v>
      </c>
    </row>
    <row r="601" spans="1:2" x14ac:dyDescent="0.35">
      <c r="A601" s="2">
        <v>598</v>
      </c>
      <c r="B601" s="7">
        <v>3.67</v>
      </c>
    </row>
    <row r="602" spans="1:2" x14ac:dyDescent="0.35">
      <c r="A602" s="2">
        <v>599</v>
      </c>
      <c r="B602" s="7">
        <v>4.6399999999999997</v>
      </c>
    </row>
    <row r="603" spans="1:2" x14ac:dyDescent="0.35">
      <c r="A603" s="2">
        <v>600</v>
      </c>
      <c r="B603" s="7">
        <v>4.6399999999999997</v>
      </c>
    </row>
    <row r="604" spans="1:2" x14ac:dyDescent="0.35">
      <c r="A604" s="2">
        <v>601</v>
      </c>
      <c r="B604" s="7">
        <v>4.71</v>
      </c>
    </row>
    <row r="605" spans="1:2" x14ac:dyDescent="0.35">
      <c r="A605" s="2">
        <v>602</v>
      </c>
      <c r="B605" s="7">
        <v>4.83</v>
      </c>
    </row>
    <row r="606" spans="1:2" x14ac:dyDescent="0.35">
      <c r="A606" s="2">
        <v>603</v>
      </c>
      <c r="B606" s="7">
        <v>3.89</v>
      </c>
    </row>
    <row r="607" spans="1:2" x14ac:dyDescent="0.35">
      <c r="A607" s="2">
        <v>604</v>
      </c>
      <c r="B607" s="7">
        <v>3.84</v>
      </c>
    </row>
    <row r="608" spans="1:2" x14ac:dyDescent="0.35">
      <c r="A608" s="2">
        <v>605</v>
      </c>
      <c r="B608" s="7">
        <v>4.2</v>
      </c>
    </row>
    <row r="609" spans="1:2" x14ac:dyDescent="0.35">
      <c r="A609" s="2">
        <v>606</v>
      </c>
      <c r="B609" s="7">
        <v>3.9</v>
      </c>
    </row>
    <row r="610" spans="1:2" x14ac:dyDescent="0.35">
      <c r="A610" s="2">
        <v>607</v>
      </c>
      <c r="B610" s="7">
        <v>4.5999999999999996</v>
      </c>
    </row>
    <row r="611" spans="1:2" x14ac:dyDescent="0.35">
      <c r="A611" s="2">
        <v>608</v>
      </c>
      <c r="B611" s="7">
        <v>4.45</v>
      </c>
    </row>
    <row r="612" spans="1:2" x14ac:dyDescent="0.35">
      <c r="A612" s="2">
        <v>609</v>
      </c>
      <c r="B612" s="7">
        <v>4.8099999999999996</v>
      </c>
    </row>
    <row r="613" spans="1:2" x14ac:dyDescent="0.35">
      <c r="A613" s="2">
        <v>610</v>
      </c>
      <c r="B613" s="7">
        <v>3.62</v>
      </c>
    </row>
    <row r="614" spans="1:2" x14ac:dyDescent="0.35">
      <c r="A614" s="2">
        <v>611</v>
      </c>
      <c r="B614" s="7">
        <v>4.87</v>
      </c>
    </row>
    <row r="615" spans="1:2" x14ac:dyDescent="0.35">
      <c r="A615" s="2">
        <v>612</v>
      </c>
      <c r="B615" s="7">
        <v>3.94</v>
      </c>
    </row>
    <row r="616" spans="1:2" x14ac:dyDescent="0.35">
      <c r="A616" s="2">
        <v>613</v>
      </c>
      <c r="B616" s="7">
        <v>4.24</v>
      </c>
    </row>
    <row r="617" spans="1:2" x14ac:dyDescent="0.35">
      <c r="A617" s="2">
        <v>614</v>
      </c>
      <c r="B617" s="7">
        <v>4.16</v>
      </c>
    </row>
    <row r="618" spans="1:2" x14ac:dyDescent="0.35">
      <c r="A618" s="2">
        <v>615</v>
      </c>
      <c r="B618" s="7">
        <v>4.6399999999999997</v>
      </c>
    </row>
    <row r="619" spans="1:2" x14ac:dyDescent="0.35">
      <c r="A619" s="2">
        <v>616</v>
      </c>
      <c r="B619" s="7">
        <v>4.13</v>
      </c>
    </row>
    <row r="620" spans="1:2" x14ac:dyDescent="0.35">
      <c r="A620" s="2">
        <v>617</v>
      </c>
      <c r="B620" s="7">
        <v>4.92</v>
      </c>
    </row>
    <row r="621" spans="1:2" x14ac:dyDescent="0.35">
      <c r="A621" s="2">
        <v>618</v>
      </c>
      <c r="B621" s="7">
        <v>4.8499999999999996</v>
      </c>
    </row>
    <row r="622" spans="1:2" x14ac:dyDescent="0.35">
      <c r="A622" s="2">
        <v>619</v>
      </c>
      <c r="B622" s="7">
        <v>4.8099999999999996</v>
      </c>
    </row>
    <row r="623" spans="1:2" x14ac:dyDescent="0.35">
      <c r="A623" s="2">
        <v>620</v>
      </c>
      <c r="B623" s="7">
        <v>3.61</v>
      </c>
    </row>
    <row r="624" spans="1:2" x14ac:dyDescent="0.35">
      <c r="A624" s="2">
        <v>621</v>
      </c>
      <c r="B624" s="7">
        <v>4.78</v>
      </c>
    </row>
    <row r="625" spans="1:2" x14ac:dyDescent="0.35">
      <c r="A625" s="2">
        <v>622</v>
      </c>
      <c r="B625" s="7">
        <v>4.67</v>
      </c>
    </row>
    <row r="626" spans="1:2" x14ac:dyDescent="0.35">
      <c r="A626" s="2">
        <v>623</v>
      </c>
      <c r="B626" s="7">
        <v>3.66</v>
      </c>
    </row>
    <row r="627" spans="1:2" x14ac:dyDescent="0.35">
      <c r="A627" s="2">
        <v>624</v>
      </c>
      <c r="B627" s="7">
        <v>3.66</v>
      </c>
    </row>
    <row r="628" spans="1:2" x14ac:dyDescent="0.35">
      <c r="A628" s="2">
        <v>625</v>
      </c>
      <c r="B628" s="7">
        <v>3.65</v>
      </c>
    </row>
    <row r="629" spans="1:2" x14ac:dyDescent="0.35">
      <c r="A629" s="2">
        <v>626</v>
      </c>
      <c r="B629" s="7">
        <v>3.52</v>
      </c>
    </row>
    <row r="630" spans="1:2" x14ac:dyDescent="0.35">
      <c r="A630" s="2">
        <v>627</v>
      </c>
      <c r="B630" s="7">
        <v>4.32</v>
      </c>
    </row>
    <row r="631" spans="1:2" x14ac:dyDescent="0.35">
      <c r="A631" s="2">
        <v>628</v>
      </c>
      <c r="B631" s="7">
        <v>4.96</v>
      </c>
    </row>
    <row r="632" spans="1:2" x14ac:dyDescent="0.35">
      <c r="A632" s="2">
        <v>629</v>
      </c>
      <c r="B632" s="7">
        <v>4.16</v>
      </c>
    </row>
    <row r="633" spans="1:2" x14ac:dyDescent="0.35">
      <c r="A633" s="2">
        <v>630</v>
      </c>
      <c r="B633" s="7">
        <v>4.3099999999999996</v>
      </c>
    </row>
    <row r="634" spans="1:2" x14ac:dyDescent="0.35">
      <c r="A634" s="2">
        <v>631</v>
      </c>
      <c r="B634" s="7">
        <v>4.95</v>
      </c>
    </row>
    <row r="635" spans="1:2" x14ac:dyDescent="0.35">
      <c r="A635" s="2">
        <v>632</v>
      </c>
      <c r="B635" s="7">
        <v>3.88</v>
      </c>
    </row>
    <row r="636" spans="1:2" x14ac:dyDescent="0.35">
      <c r="A636" s="2">
        <v>633</v>
      </c>
      <c r="B636" s="7">
        <v>4.79</v>
      </c>
    </row>
    <row r="637" spans="1:2" x14ac:dyDescent="0.35">
      <c r="A637" s="2">
        <v>634</v>
      </c>
      <c r="B637" s="7">
        <v>4.32</v>
      </c>
    </row>
    <row r="638" spans="1:2" x14ac:dyDescent="0.35">
      <c r="A638" s="2">
        <v>635</v>
      </c>
      <c r="B638" s="7">
        <v>4.3499999999999996</v>
      </c>
    </row>
    <row r="639" spans="1:2" x14ac:dyDescent="0.35">
      <c r="A639" s="2">
        <v>636</v>
      </c>
      <c r="B639" s="7">
        <v>4.01</v>
      </c>
    </row>
    <row r="640" spans="1:2" x14ac:dyDescent="0.35">
      <c r="A640" s="2">
        <v>637</v>
      </c>
      <c r="B640" s="7">
        <v>4.34</v>
      </c>
    </row>
    <row r="641" spans="1:2" x14ac:dyDescent="0.35">
      <c r="A641" s="2">
        <v>638</v>
      </c>
      <c r="B641" s="7">
        <v>3.61</v>
      </c>
    </row>
    <row r="642" spans="1:2" x14ac:dyDescent="0.35">
      <c r="A642" s="2">
        <v>639</v>
      </c>
      <c r="B642" s="7">
        <v>4.6500000000000004</v>
      </c>
    </row>
    <row r="643" spans="1:2" x14ac:dyDescent="0.35">
      <c r="A643" s="2">
        <v>640</v>
      </c>
      <c r="B643" s="7">
        <v>3.93</v>
      </c>
    </row>
    <row r="644" spans="1:2" x14ac:dyDescent="0.35">
      <c r="A644" s="2">
        <v>641</v>
      </c>
      <c r="B644" s="7">
        <v>4.83</v>
      </c>
    </row>
    <row r="645" spans="1:2" x14ac:dyDescent="0.35">
      <c r="A645" s="2">
        <v>642</v>
      </c>
      <c r="B645" s="7">
        <v>4.05</v>
      </c>
    </row>
    <row r="646" spans="1:2" x14ac:dyDescent="0.35">
      <c r="A646" s="2">
        <v>643</v>
      </c>
      <c r="B646" s="7">
        <v>3.71</v>
      </c>
    </row>
    <row r="647" spans="1:2" x14ac:dyDescent="0.35">
      <c r="A647" s="2">
        <v>644</v>
      </c>
      <c r="B647" s="7">
        <v>4.54</v>
      </c>
    </row>
    <row r="648" spans="1:2" x14ac:dyDescent="0.35">
      <c r="A648" s="2">
        <v>645</v>
      </c>
      <c r="B648" s="7">
        <v>3.75</v>
      </c>
    </row>
    <row r="649" spans="1:2" x14ac:dyDescent="0.35">
      <c r="A649" s="2">
        <v>646</v>
      </c>
      <c r="B649" s="7">
        <v>4.63</v>
      </c>
    </row>
    <row r="650" spans="1:2" x14ac:dyDescent="0.35">
      <c r="A650" s="2">
        <v>647</v>
      </c>
      <c r="B650" s="7">
        <v>4.95</v>
      </c>
    </row>
    <row r="651" spans="1:2" x14ac:dyDescent="0.35">
      <c r="A651" s="2">
        <v>648</v>
      </c>
      <c r="B651" s="7">
        <v>4.67</v>
      </c>
    </row>
    <row r="652" spans="1:2" x14ac:dyDescent="0.35">
      <c r="A652" s="2">
        <v>649</v>
      </c>
      <c r="B652" s="7">
        <v>3.53</v>
      </c>
    </row>
    <row r="653" spans="1:2" x14ac:dyDescent="0.35">
      <c r="A653" s="2">
        <v>650</v>
      </c>
      <c r="B653" s="7">
        <v>4.4000000000000004</v>
      </c>
    </row>
    <row r="654" spans="1:2" x14ac:dyDescent="0.35">
      <c r="A654" s="2">
        <v>651</v>
      </c>
      <c r="B654" s="7">
        <v>4.54</v>
      </c>
    </row>
    <row r="655" spans="1:2" x14ac:dyDescent="0.35">
      <c r="A655" s="2">
        <v>652</v>
      </c>
      <c r="B655" s="7">
        <v>4.74</v>
      </c>
    </row>
    <row r="656" spans="1:2" x14ac:dyDescent="0.35">
      <c r="A656" s="2">
        <v>653</v>
      </c>
      <c r="B656" s="7">
        <v>3.58</v>
      </c>
    </row>
    <row r="657" spans="1:2" x14ac:dyDescent="0.35">
      <c r="A657" s="2">
        <v>654</v>
      </c>
      <c r="B657" s="7">
        <v>4.22</v>
      </c>
    </row>
    <row r="658" spans="1:2" x14ac:dyDescent="0.35">
      <c r="A658" s="2">
        <v>655</v>
      </c>
      <c r="B658" s="7">
        <v>4.3</v>
      </c>
    </row>
    <row r="659" spans="1:2" x14ac:dyDescent="0.35">
      <c r="A659" s="2">
        <v>656</v>
      </c>
      <c r="B659" s="7">
        <v>3.75</v>
      </c>
    </row>
    <row r="660" spans="1:2" x14ac:dyDescent="0.35">
      <c r="A660" s="2">
        <v>657</v>
      </c>
      <c r="B660" s="7">
        <v>3.98</v>
      </c>
    </row>
    <row r="661" spans="1:2" x14ac:dyDescent="0.35">
      <c r="A661" s="2">
        <v>658</v>
      </c>
      <c r="B661" s="7">
        <v>4.16</v>
      </c>
    </row>
    <row r="662" spans="1:2" x14ac:dyDescent="0.35">
      <c r="A662" s="2">
        <v>659</v>
      </c>
      <c r="B662" s="7">
        <v>4.75</v>
      </c>
    </row>
    <row r="663" spans="1:2" x14ac:dyDescent="0.35">
      <c r="A663" s="2">
        <v>660</v>
      </c>
      <c r="B663" s="7">
        <v>4.8899999999999997</v>
      </c>
    </row>
    <row r="664" spans="1:2" x14ac:dyDescent="0.35">
      <c r="A664" s="2">
        <v>661</v>
      </c>
      <c r="B664" s="7">
        <v>4.4400000000000004</v>
      </c>
    </row>
    <row r="665" spans="1:2" x14ac:dyDescent="0.35">
      <c r="A665" s="2">
        <v>662</v>
      </c>
      <c r="B665" s="7">
        <v>4.09</v>
      </c>
    </row>
    <row r="666" spans="1:2" x14ac:dyDescent="0.35">
      <c r="A666" s="2">
        <v>663</v>
      </c>
      <c r="B666" s="7">
        <v>3.88</v>
      </c>
    </row>
    <row r="667" spans="1:2" x14ac:dyDescent="0.35">
      <c r="A667" s="2">
        <v>664</v>
      </c>
      <c r="B667" s="7">
        <v>4.97</v>
      </c>
    </row>
    <row r="668" spans="1:2" x14ac:dyDescent="0.35">
      <c r="A668" s="2">
        <v>665</v>
      </c>
      <c r="B668" s="7">
        <v>4.97</v>
      </c>
    </row>
    <row r="669" spans="1:2" x14ac:dyDescent="0.35">
      <c r="A669" s="2">
        <v>666</v>
      </c>
      <c r="B669" s="7">
        <v>4.8899999999999997</v>
      </c>
    </row>
    <row r="670" spans="1:2" x14ac:dyDescent="0.35">
      <c r="A670" s="2">
        <v>667</v>
      </c>
      <c r="B670" s="7">
        <v>4.68</v>
      </c>
    </row>
    <row r="671" spans="1:2" x14ac:dyDescent="0.35">
      <c r="A671" s="2">
        <v>668</v>
      </c>
      <c r="B671" s="7">
        <v>3.99</v>
      </c>
    </row>
    <row r="672" spans="1:2" x14ac:dyDescent="0.35">
      <c r="A672" s="2">
        <v>669</v>
      </c>
      <c r="B672" s="7">
        <v>4.7300000000000004</v>
      </c>
    </row>
    <row r="673" spans="1:2" x14ac:dyDescent="0.35">
      <c r="A673" s="2">
        <v>670</v>
      </c>
      <c r="B673" s="7">
        <v>4.1100000000000003</v>
      </c>
    </row>
    <row r="674" spans="1:2" x14ac:dyDescent="0.35">
      <c r="A674" s="2">
        <v>671</v>
      </c>
      <c r="B674" s="7">
        <v>3.99</v>
      </c>
    </row>
    <row r="675" spans="1:2" x14ac:dyDescent="0.35">
      <c r="A675" s="2">
        <v>672</v>
      </c>
      <c r="B675" s="7">
        <v>4.62</v>
      </c>
    </row>
    <row r="676" spans="1:2" x14ac:dyDescent="0.35">
      <c r="A676" s="2">
        <v>673</v>
      </c>
      <c r="B676" s="7">
        <v>3.62</v>
      </c>
    </row>
    <row r="677" spans="1:2" x14ac:dyDescent="0.35">
      <c r="A677" s="2">
        <v>674</v>
      </c>
      <c r="B677" s="7">
        <v>3.57</v>
      </c>
    </row>
    <row r="678" spans="1:2" x14ac:dyDescent="0.35">
      <c r="A678" s="2">
        <v>675</v>
      </c>
      <c r="B678" s="7">
        <v>4.17</v>
      </c>
    </row>
    <row r="679" spans="1:2" x14ac:dyDescent="0.35">
      <c r="A679" s="2">
        <v>676</v>
      </c>
      <c r="B679" s="7">
        <v>4.17</v>
      </c>
    </row>
    <row r="680" spans="1:2" x14ac:dyDescent="0.35">
      <c r="A680" s="2">
        <v>677</v>
      </c>
      <c r="B680" s="7">
        <v>4.84</v>
      </c>
    </row>
    <row r="681" spans="1:2" x14ac:dyDescent="0.35">
      <c r="A681" s="2">
        <v>678</v>
      </c>
      <c r="B681" s="7">
        <v>3.69</v>
      </c>
    </row>
    <row r="682" spans="1:2" x14ac:dyDescent="0.35">
      <c r="A682" s="2">
        <v>679</v>
      </c>
      <c r="B682" s="7">
        <v>3.68</v>
      </c>
    </row>
    <row r="683" spans="1:2" x14ac:dyDescent="0.35">
      <c r="A683" s="2">
        <v>680</v>
      </c>
      <c r="B683" s="7">
        <v>3.72</v>
      </c>
    </row>
    <row r="684" spans="1:2" x14ac:dyDescent="0.35">
      <c r="A684" s="2">
        <v>681</v>
      </c>
      <c r="B684" s="7">
        <v>3.54</v>
      </c>
    </row>
    <row r="685" spans="1:2" x14ac:dyDescent="0.35">
      <c r="A685" s="2">
        <v>682</v>
      </c>
      <c r="B685" s="7">
        <v>3.61</v>
      </c>
    </row>
    <row r="686" spans="1:2" x14ac:dyDescent="0.35">
      <c r="A686" s="2">
        <v>683</v>
      </c>
      <c r="B686" s="7">
        <v>4.49</v>
      </c>
    </row>
    <row r="687" spans="1:2" x14ac:dyDescent="0.35">
      <c r="A687" s="2">
        <v>684</v>
      </c>
      <c r="B687" s="7">
        <v>4.1500000000000004</v>
      </c>
    </row>
    <row r="688" spans="1:2" x14ac:dyDescent="0.35">
      <c r="A688" s="2">
        <v>685</v>
      </c>
      <c r="B688" s="7">
        <v>4.6500000000000004</v>
      </c>
    </row>
    <row r="689" spans="1:2" x14ac:dyDescent="0.35">
      <c r="A689" s="2">
        <v>686</v>
      </c>
      <c r="B689" s="7">
        <v>4.99</v>
      </c>
    </row>
    <row r="690" spans="1:2" x14ac:dyDescent="0.35">
      <c r="A690" s="2">
        <v>687</v>
      </c>
      <c r="B690" s="7">
        <v>4.49</v>
      </c>
    </row>
    <row r="691" spans="1:2" x14ac:dyDescent="0.35">
      <c r="A691" s="2">
        <v>688</v>
      </c>
      <c r="B691" s="7">
        <v>3.58</v>
      </c>
    </row>
    <row r="692" spans="1:2" x14ac:dyDescent="0.35">
      <c r="A692" s="2">
        <v>689</v>
      </c>
      <c r="B692" s="7">
        <v>3.66</v>
      </c>
    </row>
    <row r="693" spans="1:2" x14ac:dyDescent="0.35">
      <c r="A693" s="2">
        <v>690</v>
      </c>
      <c r="B693" s="7">
        <v>4.82</v>
      </c>
    </row>
    <row r="694" spans="1:2" x14ac:dyDescent="0.35">
      <c r="A694" s="2">
        <v>691</v>
      </c>
      <c r="B694" s="7">
        <v>4.29</v>
      </c>
    </row>
    <row r="695" spans="1:2" x14ac:dyDescent="0.35">
      <c r="A695" s="2">
        <v>692</v>
      </c>
      <c r="B695" s="7">
        <v>4.74</v>
      </c>
    </row>
    <row r="696" spans="1:2" x14ac:dyDescent="0.35">
      <c r="A696" s="2">
        <v>693</v>
      </c>
      <c r="B696" s="7">
        <v>4.78</v>
      </c>
    </row>
    <row r="697" spans="1:2" x14ac:dyDescent="0.35">
      <c r="A697" s="2">
        <v>694</v>
      </c>
      <c r="B697" s="7">
        <v>4.8899999999999997</v>
      </c>
    </row>
    <row r="698" spans="1:2" x14ac:dyDescent="0.35">
      <c r="A698" s="2">
        <v>695</v>
      </c>
      <c r="B698" s="7">
        <v>4.92</v>
      </c>
    </row>
    <row r="699" spans="1:2" x14ac:dyDescent="0.35">
      <c r="A699" s="2">
        <v>696</v>
      </c>
      <c r="B699" s="7">
        <v>4.33</v>
      </c>
    </row>
    <row r="700" spans="1:2" x14ac:dyDescent="0.35">
      <c r="A700" s="2">
        <v>697</v>
      </c>
      <c r="B700" s="7">
        <v>4.01</v>
      </c>
    </row>
    <row r="701" spans="1:2" x14ac:dyDescent="0.35">
      <c r="A701" s="2">
        <v>698</v>
      </c>
      <c r="B701" s="7">
        <v>4.9400000000000004</v>
      </c>
    </row>
    <row r="702" spans="1:2" x14ac:dyDescent="0.35">
      <c r="A702" s="2">
        <v>699</v>
      </c>
      <c r="B702" s="7">
        <v>4.32</v>
      </c>
    </row>
    <row r="703" spans="1:2" x14ac:dyDescent="0.35">
      <c r="A703" s="2">
        <v>700</v>
      </c>
      <c r="B703" s="7">
        <v>3.6</v>
      </c>
    </row>
    <row r="704" spans="1:2" x14ac:dyDescent="0.35">
      <c r="A704" s="2">
        <v>701</v>
      </c>
      <c r="B704" s="7">
        <v>4.46</v>
      </c>
    </row>
    <row r="705" spans="1:2" x14ac:dyDescent="0.35">
      <c r="A705" s="2">
        <v>702</v>
      </c>
      <c r="B705" s="7">
        <v>4.38</v>
      </c>
    </row>
    <row r="706" spans="1:2" x14ac:dyDescent="0.35">
      <c r="A706" s="2">
        <v>703</v>
      </c>
      <c r="B706" s="7">
        <v>4.84</v>
      </c>
    </row>
    <row r="707" spans="1:2" x14ac:dyDescent="0.35">
      <c r="A707" s="2">
        <v>704</v>
      </c>
      <c r="B707" s="7">
        <v>4.4800000000000004</v>
      </c>
    </row>
    <row r="708" spans="1:2" x14ac:dyDescent="0.35">
      <c r="A708" s="2">
        <v>705</v>
      </c>
      <c r="B708" s="7">
        <v>4.0199999999999996</v>
      </c>
    </row>
    <row r="709" spans="1:2" x14ac:dyDescent="0.35">
      <c r="A709" s="2">
        <v>706</v>
      </c>
      <c r="B709" s="7">
        <v>4.95</v>
      </c>
    </row>
    <row r="710" spans="1:2" x14ac:dyDescent="0.35">
      <c r="A710" s="2">
        <v>707</v>
      </c>
      <c r="B710" s="7">
        <v>4.7</v>
      </c>
    </row>
    <row r="711" spans="1:2" x14ac:dyDescent="0.35">
      <c r="A711" s="2">
        <v>708</v>
      </c>
      <c r="B711" s="7">
        <v>4.45</v>
      </c>
    </row>
    <row r="712" spans="1:2" x14ac:dyDescent="0.35">
      <c r="A712" s="2">
        <v>709</v>
      </c>
      <c r="B712" s="7">
        <v>3.94</v>
      </c>
    </row>
    <row r="713" spans="1:2" x14ac:dyDescent="0.35">
      <c r="A713" s="2">
        <v>710</v>
      </c>
      <c r="B713" s="7">
        <v>4.0599999999999996</v>
      </c>
    </row>
    <row r="714" spans="1:2" x14ac:dyDescent="0.35">
      <c r="A714" s="2">
        <v>711</v>
      </c>
      <c r="B714" s="7">
        <v>4.5</v>
      </c>
    </row>
    <row r="715" spans="1:2" x14ac:dyDescent="0.35">
      <c r="A715" s="2">
        <v>712</v>
      </c>
      <c r="B715" s="7">
        <v>3.61</v>
      </c>
    </row>
    <row r="716" spans="1:2" x14ac:dyDescent="0.35">
      <c r="A716" s="2">
        <v>713</v>
      </c>
      <c r="B716" s="7">
        <v>3.89</v>
      </c>
    </row>
    <row r="717" spans="1:2" x14ac:dyDescent="0.35">
      <c r="A717" s="2">
        <v>714</v>
      </c>
      <c r="B717" s="7">
        <v>4.57</v>
      </c>
    </row>
    <row r="718" spans="1:2" x14ac:dyDescent="0.35">
      <c r="A718" s="2">
        <v>715</v>
      </c>
      <c r="B718" s="7">
        <v>4.22</v>
      </c>
    </row>
    <row r="719" spans="1:2" x14ac:dyDescent="0.35">
      <c r="A719" s="2">
        <v>716</v>
      </c>
      <c r="B719" s="7">
        <v>4.0999999999999996</v>
      </c>
    </row>
    <row r="720" spans="1:2" x14ac:dyDescent="0.35">
      <c r="A720" s="2">
        <v>717</v>
      </c>
      <c r="B720" s="7">
        <v>3.73</v>
      </c>
    </row>
    <row r="721" spans="1:2" x14ac:dyDescent="0.35">
      <c r="A721" s="2">
        <v>718</v>
      </c>
      <c r="B721" s="7">
        <v>4.16</v>
      </c>
    </row>
    <row r="722" spans="1:2" x14ac:dyDescent="0.35">
      <c r="A722" s="2">
        <v>719</v>
      </c>
      <c r="B722" s="7">
        <v>4.66</v>
      </c>
    </row>
    <row r="723" spans="1:2" x14ac:dyDescent="0.35">
      <c r="A723" s="2">
        <v>720</v>
      </c>
      <c r="B723" s="7">
        <v>3.9</v>
      </c>
    </row>
    <row r="724" spans="1:2" x14ac:dyDescent="0.35">
      <c r="A724" s="2">
        <v>721</v>
      </c>
      <c r="B724" s="7">
        <v>3.51</v>
      </c>
    </row>
    <row r="725" spans="1:2" x14ac:dyDescent="0.35">
      <c r="A725" s="2">
        <v>722</v>
      </c>
      <c r="B725" s="7">
        <v>4.5</v>
      </c>
    </row>
    <row r="726" spans="1:2" x14ac:dyDescent="0.35">
      <c r="A726" s="2">
        <v>723</v>
      </c>
      <c r="B726" s="7">
        <v>4.96</v>
      </c>
    </row>
    <row r="727" spans="1:2" x14ac:dyDescent="0.35">
      <c r="A727" s="2">
        <v>724</v>
      </c>
      <c r="B727" s="7">
        <v>4.41</v>
      </c>
    </row>
    <row r="728" spans="1:2" x14ac:dyDescent="0.35">
      <c r="A728" s="2">
        <v>725</v>
      </c>
      <c r="B728" s="7">
        <v>3.68</v>
      </c>
    </row>
    <row r="729" spans="1:2" x14ac:dyDescent="0.35">
      <c r="A729" s="2">
        <v>726</v>
      </c>
      <c r="B729" s="7">
        <v>3.98</v>
      </c>
    </row>
    <row r="730" spans="1:2" x14ac:dyDescent="0.35">
      <c r="A730" s="2">
        <v>727</v>
      </c>
      <c r="B730" s="7">
        <v>4.8</v>
      </c>
    </row>
    <row r="731" spans="1:2" x14ac:dyDescent="0.35">
      <c r="A731" s="2">
        <v>728</v>
      </c>
      <c r="B731" s="7">
        <v>3.85</v>
      </c>
    </row>
    <row r="732" spans="1:2" x14ac:dyDescent="0.35">
      <c r="A732" s="2">
        <v>729</v>
      </c>
      <c r="B732" s="7">
        <v>4.41</v>
      </c>
    </row>
    <row r="733" spans="1:2" x14ac:dyDescent="0.35">
      <c r="A733" s="2">
        <v>730</v>
      </c>
      <c r="B733" s="7">
        <v>4.0999999999999996</v>
      </c>
    </row>
    <row r="734" spans="1:2" x14ac:dyDescent="0.35">
      <c r="A734" s="2">
        <v>731</v>
      </c>
      <c r="B734" s="7">
        <v>3.81</v>
      </c>
    </row>
    <row r="735" spans="1:2" x14ac:dyDescent="0.35">
      <c r="A735" s="2">
        <v>732</v>
      </c>
      <c r="B735" s="7">
        <v>4.72</v>
      </c>
    </row>
    <row r="736" spans="1:2" x14ac:dyDescent="0.35">
      <c r="A736" s="2">
        <v>733</v>
      </c>
      <c r="B736" s="7">
        <v>4.6100000000000003</v>
      </c>
    </row>
    <row r="737" spans="1:2" x14ac:dyDescent="0.35">
      <c r="A737" s="2">
        <v>734</v>
      </c>
      <c r="B737" s="7">
        <v>4.49</v>
      </c>
    </row>
    <row r="738" spans="1:2" x14ac:dyDescent="0.35">
      <c r="A738" s="2">
        <v>735</v>
      </c>
      <c r="B738" s="7">
        <v>3.85</v>
      </c>
    </row>
    <row r="739" spans="1:2" x14ac:dyDescent="0.35">
      <c r="A739" s="2">
        <v>736</v>
      </c>
      <c r="B739" s="7">
        <v>3.65</v>
      </c>
    </row>
    <row r="740" spans="1:2" x14ac:dyDescent="0.35">
      <c r="A740" s="2">
        <v>737</v>
      </c>
      <c r="B740" s="7">
        <v>4.3600000000000003</v>
      </c>
    </row>
    <row r="741" spans="1:2" x14ac:dyDescent="0.35">
      <c r="A741" s="2">
        <v>738</v>
      </c>
      <c r="B741" s="7">
        <v>4.33</v>
      </c>
    </row>
    <row r="742" spans="1:2" x14ac:dyDescent="0.35">
      <c r="A742" s="2">
        <v>739</v>
      </c>
      <c r="B742" s="7">
        <v>3.78</v>
      </c>
    </row>
    <row r="743" spans="1:2" x14ac:dyDescent="0.35">
      <c r="A743" s="2">
        <v>740</v>
      </c>
      <c r="B743" s="7">
        <v>3.58</v>
      </c>
    </row>
    <row r="744" spans="1:2" x14ac:dyDescent="0.35">
      <c r="A744" s="2">
        <v>741</v>
      </c>
      <c r="B744" s="7">
        <v>3.62</v>
      </c>
    </row>
    <row r="745" spans="1:2" x14ac:dyDescent="0.35">
      <c r="A745" s="2">
        <v>742</v>
      </c>
      <c r="B745" s="7">
        <v>4.99</v>
      </c>
    </row>
    <row r="746" spans="1:2" x14ac:dyDescent="0.35">
      <c r="A746" s="2">
        <v>743</v>
      </c>
      <c r="B746" s="7">
        <v>4.68</v>
      </c>
    </row>
    <row r="747" spans="1:2" x14ac:dyDescent="0.35">
      <c r="A747" s="2">
        <v>744</v>
      </c>
      <c r="B747" s="7">
        <v>4.88</v>
      </c>
    </row>
    <row r="748" spans="1:2" x14ac:dyDescent="0.35">
      <c r="A748" s="2">
        <v>745</v>
      </c>
      <c r="B748" s="7">
        <v>3.79</v>
      </c>
    </row>
    <row r="749" spans="1:2" x14ac:dyDescent="0.35">
      <c r="A749" s="2">
        <v>746</v>
      </c>
      <c r="B749" s="7">
        <v>4.9400000000000004</v>
      </c>
    </row>
    <row r="750" spans="1:2" x14ac:dyDescent="0.35">
      <c r="A750" s="2">
        <v>747</v>
      </c>
      <c r="B750" s="7">
        <v>3.71</v>
      </c>
    </row>
    <row r="751" spans="1:2" x14ac:dyDescent="0.35">
      <c r="A751" s="2">
        <v>748</v>
      </c>
      <c r="B751" s="7">
        <v>4.26</v>
      </c>
    </row>
    <row r="752" spans="1:2" x14ac:dyDescent="0.35">
      <c r="A752" s="2">
        <v>749</v>
      </c>
      <c r="B752" s="7">
        <v>4.74</v>
      </c>
    </row>
    <row r="753" spans="1:2" x14ac:dyDescent="0.35">
      <c r="A753" s="2">
        <v>750</v>
      </c>
      <c r="B753" s="7">
        <v>4.0199999999999996</v>
      </c>
    </row>
    <row r="754" spans="1:2" x14ac:dyDescent="0.35">
      <c r="A754" s="2">
        <v>751</v>
      </c>
      <c r="B754" s="7">
        <v>4.1399999999999997</v>
      </c>
    </row>
    <row r="755" spans="1:2" x14ac:dyDescent="0.35">
      <c r="A755" s="2">
        <v>752</v>
      </c>
      <c r="B755" s="7">
        <v>3.69</v>
      </c>
    </row>
    <row r="756" spans="1:2" x14ac:dyDescent="0.35">
      <c r="A756" s="2">
        <v>753</v>
      </c>
      <c r="B756" s="7">
        <v>3.68</v>
      </c>
    </row>
    <row r="757" spans="1:2" x14ac:dyDescent="0.35">
      <c r="A757" s="2">
        <v>754</v>
      </c>
      <c r="B757" s="7">
        <v>4.43</v>
      </c>
    </row>
    <row r="758" spans="1:2" x14ac:dyDescent="0.35">
      <c r="A758" s="2">
        <v>755</v>
      </c>
      <c r="B758" s="7">
        <v>4.51</v>
      </c>
    </row>
    <row r="759" spans="1:2" x14ac:dyDescent="0.35">
      <c r="A759" s="2">
        <v>756</v>
      </c>
      <c r="B759" s="7">
        <v>4.67</v>
      </c>
    </row>
    <row r="760" spans="1:2" x14ac:dyDescent="0.35">
      <c r="A760" s="2">
        <v>757</v>
      </c>
      <c r="B760" s="7">
        <v>4.34</v>
      </c>
    </row>
    <row r="761" spans="1:2" x14ac:dyDescent="0.35">
      <c r="A761" s="2">
        <v>758</v>
      </c>
      <c r="B761" s="7">
        <v>4.47</v>
      </c>
    </row>
    <row r="762" spans="1:2" x14ac:dyDescent="0.35">
      <c r="A762" s="2">
        <v>759</v>
      </c>
      <c r="B762" s="7">
        <v>3.52</v>
      </c>
    </row>
    <row r="763" spans="1:2" x14ac:dyDescent="0.35">
      <c r="A763" s="2">
        <v>760</v>
      </c>
      <c r="B763" s="7">
        <v>3.74</v>
      </c>
    </row>
    <row r="764" spans="1:2" x14ac:dyDescent="0.35">
      <c r="A764" s="2">
        <v>761</v>
      </c>
      <c r="B764" s="7">
        <v>4.9800000000000004</v>
      </c>
    </row>
    <row r="765" spans="1:2" x14ac:dyDescent="0.35">
      <c r="A765" s="2">
        <v>762</v>
      </c>
      <c r="B765" s="7">
        <v>3.61</v>
      </c>
    </row>
    <row r="766" spans="1:2" x14ac:dyDescent="0.35">
      <c r="A766" s="2">
        <v>763</v>
      </c>
      <c r="B766" s="7">
        <v>4.5199999999999996</v>
      </c>
    </row>
    <row r="767" spans="1:2" x14ac:dyDescent="0.35">
      <c r="A767" s="2">
        <v>764</v>
      </c>
      <c r="B767" s="7">
        <v>3.76</v>
      </c>
    </row>
    <row r="768" spans="1:2" x14ac:dyDescent="0.35">
      <c r="A768" s="2">
        <v>765</v>
      </c>
      <c r="B768" s="7">
        <v>4.58</v>
      </c>
    </row>
    <row r="769" spans="1:2" x14ac:dyDescent="0.35">
      <c r="A769" s="2">
        <v>766</v>
      </c>
      <c r="B769" s="7">
        <v>4.5599999999999996</v>
      </c>
    </row>
    <row r="770" spans="1:2" x14ac:dyDescent="0.35">
      <c r="A770" s="2">
        <v>767</v>
      </c>
      <c r="B770" s="7">
        <v>3.85</v>
      </c>
    </row>
    <row r="771" spans="1:2" x14ac:dyDescent="0.35">
      <c r="A771" s="2">
        <v>768</v>
      </c>
      <c r="B771" s="7">
        <v>3.9</v>
      </c>
    </row>
    <row r="772" spans="1:2" x14ac:dyDescent="0.35">
      <c r="A772" s="2">
        <v>769</v>
      </c>
      <c r="B772" s="7">
        <v>4.4800000000000004</v>
      </c>
    </row>
    <row r="773" spans="1:2" x14ac:dyDescent="0.35">
      <c r="A773" s="2">
        <v>770</v>
      </c>
      <c r="B773" s="7">
        <v>4.09</v>
      </c>
    </row>
    <row r="774" spans="1:2" x14ac:dyDescent="0.35">
      <c r="A774" s="2">
        <v>771</v>
      </c>
      <c r="B774" s="7">
        <v>3.79</v>
      </c>
    </row>
    <row r="775" spans="1:2" x14ac:dyDescent="0.35">
      <c r="A775" s="2">
        <v>772</v>
      </c>
      <c r="B775" s="7">
        <v>4.5999999999999996</v>
      </c>
    </row>
    <row r="776" spans="1:2" x14ac:dyDescent="0.35">
      <c r="A776" s="2">
        <v>773</v>
      </c>
      <c r="B776" s="7">
        <v>3.73</v>
      </c>
    </row>
    <row r="777" spans="1:2" x14ac:dyDescent="0.35">
      <c r="A777" s="2">
        <v>774</v>
      </c>
      <c r="B777" s="7">
        <v>4.78</v>
      </c>
    </row>
    <row r="778" spans="1:2" x14ac:dyDescent="0.35">
      <c r="A778" s="2">
        <v>775</v>
      </c>
      <c r="B778" s="7">
        <v>4.2699999999999996</v>
      </c>
    </row>
    <row r="779" spans="1:2" x14ac:dyDescent="0.35">
      <c r="A779" s="2">
        <v>776</v>
      </c>
      <c r="B779" s="7">
        <v>3.66</v>
      </c>
    </row>
    <row r="780" spans="1:2" x14ac:dyDescent="0.35">
      <c r="A780" s="2">
        <v>777</v>
      </c>
      <c r="B780" s="7">
        <v>4.54</v>
      </c>
    </row>
    <row r="781" spans="1:2" x14ac:dyDescent="0.35">
      <c r="A781" s="2">
        <v>778</v>
      </c>
      <c r="B781" s="7">
        <v>4.28</v>
      </c>
    </row>
    <row r="782" spans="1:2" x14ac:dyDescent="0.35">
      <c r="A782" s="2">
        <v>779</v>
      </c>
      <c r="B782" s="7">
        <v>3.95</v>
      </c>
    </row>
    <row r="783" spans="1:2" x14ac:dyDescent="0.35">
      <c r="A783" s="2">
        <v>780</v>
      </c>
      <c r="B783" s="7">
        <v>4.13</v>
      </c>
    </row>
    <row r="784" spans="1:2" x14ac:dyDescent="0.35">
      <c r="A784" s="2">
        <v>781</v>
      </c>
      <c r="B784" s="7">
        <v>3.95</v>
      </c>
    </row>
    <row r="785" spans="1:2" x14ac:dyDescent="0.35">
      <c r="A785" s="2">
        <v>782</v>
      </c>
      <c r="B785" s="7">
        <v>3.89</v>
      </c>
    </row>
    <row r="786" spans="1:2" x14ac:dyDescent="0.35">
      <c r="A786" s="2">
        <v>783</v>
      </c>
      <c r="B786" s="7">
        <v>3.75</v>
      </c>
    </row>
    <row r="787" spans="1:2" x14ac:dyDescent="0.35">
      <c r="A787" s="2">
        <v>784</v>
      </c>
      <c r="B787" s="7">
        <v>4.04</v>
      </c>
    </row>
    <row r="788" spans="1:2" x14ac:dyDescent="0.35">
      <c r="A788" s="2">
        <v>785</v>
      </c>
      <c r="B788" s="7">
        <v>3.88</v>
      </c>
    </row>
    <row r="789" spans="1:2" x14ac:dyDescent="0.35">
      <c r="A789" s="2">
        <v>786</v>
      </c>
      <c r="B789" s="7">
        <v>4.53</v>
      </c>
    </row>
    <row r="790" spans="1:2" x14ac:dyDescent="0.35">
      <c r="A790" s="2">
        <v>787</v>
      </c>
      <c r="B790" s="7">
        <v>4.53</v>
      </c>
    </row>
    <row r="791" spans="1:2" x14ac:dyDescent="0.35">
      <c r="A791" s="2">
        <v>788</v>
      </c>
      <c r="B791" s="7">
        <v>4.25</v>
      </c>
    </row>
    <row r="792" spans="1:2" x14ac:dyDescent="0.35">
      <c r="A792" s="2">
        <v>789</v>
      </c>
      <c r="B792" s="7">
        <v>4.67</v>
      </c>
    </row>
    <row r="793" spans="1:2" x14ac:dyDescent="0.35">
      <c r="A793" s="2">
        <v>790</v>
      </c>
      <c r="B793" s="7">
        <v>4.76</v>
      </c>
    </row>
    <row r="794" spans="1:2" x14ac:dyDescent="0.35">
      <c r="A794" s="2">
        <v>791</v>
      </c>
      <c r="B794" s="7">
        <v>4.37</v>
      </c>
    </row>
    <row r="795" spans="1:2" x14ac:dyDescent="0.35">
      <c r="A795" s="2">
        <v>792</v>
      </c>
      <c r="B795" s="7">
        <v>4.43</v>
      </c>
    </row>
    <row r="796" spans="1:2" x14ac:dyDescent="0.35">
      <c r="A796" s="2">
        <v>793</v>
      </c>
      <c r="B796" s="7">
        <v>3.92</v>
      </c>
    </row>
    <row r="797" spans="1:2" x14ac:dyDescent="0.35">
      <c r="A797" s="2">
        <v>794</v>
      </c>
      <c r="B797" s="7">
        <v>4.84</v>
      </c>
    </row>
    <row r="798" spans="1:2" x14ac:dyDescent="0.35">
      <c r="A798" s="2">
        <v>795</v>
      </c>
      <c r="B798" s="7">
        <v>3.54</v>
      </c>
    </row>
    <row r="799" spans="1:2" x14ac:dyDescent="0.35">
      <c r="A799" s="2">
        <v>796</v>
      </c>
      <c r="B799" s="7">
        <v>4.0199999999999996</v>
      </c>
    </row>
    <row r="800" spans="1:2" x14ac:dyDescent="0.35">
      <c r="A800" s="2">
        <v>797</v>
      </c>
      <c r="B800" s="7">
        <v>4.58</v>
      </c>
    </row>
    <row r="801" spans="1:2" x14ac:dyDescent="0.35">
      <c r="A801" s="2">
        <v>798</v>
      </c>
      <c r="B801" s="7">
        <v>3.62</v>
      </c>
    </row>
    <row r="802" spans="1:2" x14ac:dyDescent="0.35">
      <c r="A802" s="2">
        <v>799</v>
      </c>
      <c r="B802" s="7">
        <v>3.77</v>
      </c>
    </row>
    <row r="803" spans="1:2" x14ac:dyDescent="0.35">
      <c r="A803" s="2">
        <v>800</v>
      </c>
      <c r="B803" s="7">
        <v>4.38</v>
      </c>
    </row>
    <row r="804" spans="1:2" x14ac:dyDescent="0.35">
      <c r="A804" s="2">
        <v>801</v>
      </c>
      <c r="B804" s="7">
        <v>4.34</v>
      </c>
    </row>
    <row r="805" spans="1:2" x14ac:dyDescent="0.35">
      <c r="A805" s="2">
        <v>802</v>
      </c>
      <c r="B805" s="7">
        <v>4.6100000000000003</v>
      </c>
    </row>
    <row r="806" spans="1:2" x14ac:dyDescent="0.35">
      <c r="A806" s="2">
        <v>803</v>
      </c>
      <c r="B806" s="7">
        <v>4.72</v>
      </c>
    </row>
    <row r="807" spans="1:2" x14ac:dyDescent="0.35">
      <c r="A807" s="2">
        <v>804</v>
      </c>
      <c r="B807" s="7">
        <v>3.69</v>
      </c>
    </row>
    <row r="808" spans="1:2" x14ac:dyDescent="0.35">
      <c r="A808" s="2">
        <v>805</v>
      </c>
      <c r="B808" s="7">
        <v>3.53</v>
      </c>
    </row>
    <row r="809" spans="1:2" x14ac:dyDescent="0.35">
      <c r="A809" s="2">
        <v>806</v>
      </c>
      <c r="B809" s="7">
        <v>4.53</v>
      </c>
    </row>
    <row r="810" spans="1:2" x14ac:dyDescent="0.35">
      <c r="A810" s="2">
        <v>807</v>
      </c>
      <c r="B810" s="7">
        <v>3.95</v>
      </c>
    </row>
    <row r="811" spans="1:2" x14ac:dyDescent="0.35">
      <c r="A811" s="2">
        <v>808</v>
      </c>
      <c r="B811" s="7">
        <v>4.4400000000000004</v>
      </c>
    </row>
    <row r="812" spans="1:2" x14ac:dyDescent="0.35">
      <c r="A812" s="2">
        <v>809</v>
      </c>
      <c r="B812" s="7">
        <v>3.73</v>
      </c>
    </row>
    <row r="813" spans="1:2" x14ac:dyDescent="0.35">
      <c r="A813" s="2">
        <v>810</v>
      </c>
      <c r="B813" s="7">
        <v>4.2</v>
      </c>
    </row>
    <row r="814" spans="1:2" x14ac:dyDescent="0.35">
      <c r="A814" s="2">
        <v>811</v>
      </c>
      <c r="B814" s="7">
        <v>4.26</v>
      </c>
    </row>
    <row r="815" spans="1:2" x14ac:dyDescent="0.35">
      <c r="A815" s="2">
        <v>812</v>
      </c>
      <c r="B815" s="7">
        <v>4.38</v>
      </c>
    </row>
    <row r="816" spans="1:2" x14ac:dyDescent="0.35">
      <c r="A816" s="2">
        <v>813</v>
      </c>
      <c r="B816" s="7">
        <v>4.2699999999999996</v>
      </c>
    </row>
    <row r="817" spans="1:2" x14ac:dyDescent="0.35">
      <c r="A817" s="2">
        <v>814</v>
      </c>
      <c r="B817" s="7">
        <v>4.24</v>
      </c>
    </row>
    <row r="818" spans="1:2" x14ac:dyDescent="0.35">
      <c r="A818" s="2">
        <v>815</v>
      </c>
      <c r="B818" s="7">
        <v>4</v>
      </c>
    </row>
    <row r="819" spans="1:2" x14ac:dyDescent="0.35">
      <c r="A819" s="2">
        <v>816</v>
      </c>
      <c r="B819" s="7">
        <v>3.61</v>
      </c>
    </row>
    <row r="820" spans="1:2" x14ac:dyDescent="0.35">
      <c r="A820" s="2">
        <v>817</v>
      </c>
      <c r="B820" s="7">
        <v>3.63</v>
      </c>
    </row>
    <row r="821" spans="1:2" x14ac:dyDescent="0.35">
      <c r="A821" s="2">
        <v>818</v>
      </c>
      <c r="B821" s="7">
        <v>4.1500000000000004</v>
      </c>
    </row>
    <row r="822" spans="1:2" x14ac:dyDescent="0.35">
      <c r="A822" s="2">
        <v>819</v>
      </c>
      <c r="B822" s="7">
        <v>4.03</v>
      </c>
    </row>
    <row r="823" spans="1:2" x14ac:dyDescent="0.35">
      <c r="A823" s="2">
        <v>820</v>
      </c>
      <c r="B823" s="7">
        <v>4.2699999999999996</v>
      </c>
    </row>
    <row r="824" spans="1:2" x14ac:dyDescent="0.35">
      <c r="A824" s="2">
        <v>821</v>
      </c>
      <c r="B824" s="7">
        <v>3.96</v>
      </c>
    </row>
    <row r="825" spans="1:2" x14ac:dyDescent="0.35">
      <c r="A825" s="2">
        <v>822</v>
      </c>
      <c r="B825" s="7">
        <v>4.53</v>
      </c>
    </row>
    <row r="826" spans="1:2" x14ac:dyDescent="0.35">
      <c r="A826" s="2">
        <v>823</v>
      </c>
      <c r="B826" s="7">
        <v>4.8</v>
      </c>
    </row>
    <row r="827" spans="1:2" x14ac:dyDescent="0.35">
      <c r="A827" s="2">
        <v>824</v>
      </c>
      <c r="B827" s="7">
        <v>3.95</v>
      </c>
    </row>
    <row r="828" spans="1:2" x14ac:dyDescent="0.35">
      <c r="A828" s="2">
        <v>825</v>
      </c>
      <c r="B828" s="7">
        <v>3.79</v>
      </c>
    </row>
    <row r="829" spans="1:2" x14ac:dyDescent="0.35">
      <c r="A829" s="2">
        <v>826</v>
      </c>
      <c r="B829" s="7">
        <v>3.67</v>
      </c>
    </row>
    <row r="830" spans="1:2" x14ac:dyDescent="0.35">
      <c r="A830" s="2">
        <v>827</v>
      </c>
      <c r="B830" s="7">
        <v>4.42</v>
      </c>
    </row>
    <row r="831" spans="1:2" x14ac:dyDescent="0.35">
      <c r="A831" s="2">
        <v>828</v>
      </c>
      <c r="B831" s="7">
        <v>4.17</v>
      </c>
    </row>
    <row r="832" spans="1:2" x14ac:dyDescent="0.35">
      <c r="A832" s="2">
        <v>829</v>
      </c>
      <c r="B832" s="7">
        <v>3.78</v>
      </c>
    </row>
    <row r="833" spans="1:2" x14ac:dyDescent="0.35">
      <c r="A833" s="2">
        <v>830</v>
      </c>
      <c r="B833" s="7">
        <v>4.4800000000000004</v>
      </c>
    </row>
    <row r="834" spans="1:2" x14ac:dyDescent="0.35">
      <c r="A834" s="2">
        <v>831</v>
      </c>
      <c r="B834" s="7">
        <v>3.72</v>
      </c>
    </row>
    <row r="835" spans="1:2" x14ac:dyDescent="0.35">
      <c r="A835" s="2">
        <v>832</v>
      </c>
      <c r="B835" s="7">
        <v>4.33</v>
      </c>
    </row>
    <row r="836" spans="1:2" x14ac:dyDescent="0.35">
      <c r="A836" s="2">
        <v>833</v>
      </c>
      <c r="B836" s="7">
        <v>4.29</v>
      </c>
    </row>
    <row r="837" spans="1:2" x14ac:dyDescent="0.35">
      <c r="A837" s="2">
        <v>834</v>
      </c>
      <c r="B837" s="7">
        <v>4.5999999999999996</v>
      </c>
    </row>
    <row r="838" spans="1:2" x14ac:dyDescent="0.35">
      <c r="A838" s="2">
        <v>835</v>
      </c>
      <c r="B838" s="7">
        <v>3.58</v>
      </c>
    </row>
    <row r="839" spans="1:2" x14ac:dyDescent="0.35">
      <c r="A839" s="2">
        <v>836</v>
      </c>
      <c r="B839" s="7">
        <v>4.83</v>
      </c>
    </row>
    <row r="840" spans="1:2" x14ac:dyDescent="0.35">
      <c r="A840" s="2">
        <v>837</v>
      </c>
      <c r="B840" s="7">
        <v>4.55</v>
      </c>
    </row>
    <row r="841" spans="1:2" x14ac:dyDescent="0.35">
      <c r="A841" s="2">
        <v>838</v>
      </c>
      <c r="B841" s="7">
        <v>3.82</v>
      </c>
    </row>
    <row r="842" spans="1:2" x14ac:dyDescent="0.35">
      <c r="A842" s="2">
        <v>839</v>
      </c>
      <c r="B842" s="7">
        <v>3.78</v>
      </c>
    </row>
    <row r="843" spans="1:2" x14ac:dyDescent="0.35">
      <c r="A843" s="2">
        <v>840</v>
      </c>
      <c r="B843" s="7">
        <v>4.1500000000000004</v>
      </c>
    </row>
    <row r="844" spans="1:2" x14ac:dyDescent="0.35">
      <c r="A844" s="2">
        <v>841</v>
      </c>
      <c r="B844" s="7">
        <v>4.7300000000000004</v>
      </c>
    </row>
    <row r="845" spans="1:2" x14ac:dyDescent="0.35">
      <c r="A845" s="2">
        <v>842</v>
      </c>
      <c r="B845" s="7">
        <v>4.76</v>
      </c>
    </row>
    <row r="846" spans="1:2" x14ac:dyDescent="0.35">
      <c r="A846" s="2">
        <v>843</v>
      </c>
      <c r="B846" s="7">
        <v>4.28</v>
      </c>
    </row>
    <row r="847" spans="1:2" x14ac:dyDescent="0.35">
      <c r="A847" s="2">
        <v>844</v>
      </c>
      <c r="B847" s="7">
        <v>4.79</v>
      </c>
    </row>
    <row r="848" spans="1:2" x14ac:dyDescent="0.35">
      <c r="A848" s="2">
        <v>845</v>
      </c>
      <c r="B848" s="7">
        <v>3.51</v>
      </c>
    </row>
    <row r="849" spans="1:2" x14ac:dyDescent="0.35">
      <c r="A849" s="2">
        <v>846</v>
      </c>
      <c r="B849" s="7">
        <v>3.55</v>
      </c>
    </row>
    <row r="850" spans="1:2" x14ac:dyDescent="0.35">
      <c r="A850" s="2">
        <v>847</v>
      </c>
      <c r="B850" s="7">
        <v>4.87</v>
      </c>
    </row>
    <row r="851" spans="1:2" x14ac:dyDescent="0.35">
      <c r="A851" s="2">
        <v>848</v>
      </c>
      <c r="B851" s="7">
        <v>4.66</v>
      </c>
    </row>
    <row r="852" spans="1:2" x14ac:dyDescent="0.35">
      <c r="A852" s="2">
        <v>849</v>
      </c>
      <c r="B852" s="7">
        <v>4.18</v>
      </c>
    </row>
    <row r="853" spans="1:2" x14ac:dyDescent="0.35">
      <c r="A853" s="2">
        <v>850</v>
      </c>
      <c r="B853" s="7">
        <v>4.63</v>
      </c>
    </row>
    <row r="854" spans="1:2" x14ac:dyDescent="0.35">
      <c r="A854" s="2">
        <v>851</v>
      </c>
      <c r="B854" s="7">
        <v>4.93</v>
      </c>
    </row>
    <row r="855" spans="1:2" x14ac:dyDescent="0.35">
      <c r="A855" s="2">
        <v>852</v>
      </c>
      <c r="B855" s="7">
        <v>4.66</v>
      </c>
    </row>
    <row r="856" spans="1:2" x14ac:dyDescent="0.35">
      <c r="A856" s="2">
        <v>853</v>
      </c>
      <c r="B856" s="7">
        <v>4.76</v>
      </c>
    </row>
    <row r="857" spans="1:2" x14ac:dyDescent="0.35">
      <c r="A857" s="2">
        <v>854</v>
      </c>
      <c r="B857" s="7">
        <v>4.6399999999999997</v>
      </c>
    </row>
    <row r="858" spans="1:2" x14ac:dyDescent="0.35">
      <c r="A858" s="2">
        <v>855</v>
      </c>
      <c r="B858" s="7">
        <v>3.75</v>
      </c>
    </row>
    <row r="859" spans="1:2" x14ac:dyDescent="0.35">
      <c r="A859" s="2">
        <v>856</v>
      </c>
      <c r="B859" s="7">
        <v>4.75</v>
      </c>
    </row>
    <row r="860" spans="1:2" x14ac:dyDescent="0.35">
      <c r="A860" s="2">
        <v>857</v>
      </c>
      <c r="B860" s="7">
        <v>3.79</v>
      </c>
    </row>
    <row r="861" spans="1:2" x14ac:dyDescent="0.35">
      <c r="A861" s="2">
        <v>858</v>
      </c>
      <c r="B861" s="7">
        <v>4.84</v>
      </c>
    </row>
    <row r="862" spans="1:2" x14ac:dyDescent="0.35">
      <c r="A862" s="2">
        <v>859</v>
      </c>
      <c r="B862" s="7">
        <v>4.1900000000000004</v>
      </c>
    </row>
    <row r="863" spans="1:2" x14ac:dyDescent="0.35">
      <c r="A863" s="2">
        <v>860</v>
      </c>
      <c r="B863" s="7">
        <v>4.5199999999999996</v>
      </c>
    </row>
    <row r="864" spans="1:2" x14ac:dyDescent="0.35">
      <c r="A864" s="2">
        <v>861</v>
      </c>
      <c r="B864" s="7">
        <v>4.25</v>
      </c>
    </row>
    <row r="865" spans="1:2" x14ac:dyDescent="0.35">
      <c r="A865" s="2">
        <v>862</v>
      </c>
      <c r="B865" s="7">
        <v>3.64</v>
      </c>
    </row>
    <row r="866" spans="1:2" x14ac:dyDescent="0.35">
      <c r="A866" s="2">
        <v>863</v>
      </c>
      <c r="B866" s="7">
        <v>3.94</v>
      </c>
    </row>
    <row r="867" spans="1:2" x14ac:dyDescent="0.35">
      <c r="A867" s="2">
        <v>864</v>
      </c>
      <c r="B867" s="7">
        <v>4.9800000000000004</v>
      </c>
    </row>
    <row r="868" spans="1:2" x14ac:dyDescent="0.35">
      <c r="A868" s="2">
        <v>865</v>
      </c>
      <c r="B868" s="7">
        <v>4.9400000000000004</v>
      </c>
    </row>
    <row r="869" spans="1:2" x14ac:dyDescent="0.35">
      <c r="A869" s="2">
        <v>866</v>
      </c>
      <c r="B869" s="7">
        <v>3.98</v>
      </c>
    </row>
    <row r="870" spans="1:2" x14ac:dyDescent="0.35">
      <c r="A870" s="2">
        <v>867</v>
      </c>
      <c r="B870" s="7">
        <v>4.99</v>
      </c>
    </row>
    <row r="871" spans="1:2" x14ac:dyDescent="0.35">
      <c r="A871" s="2">
        <v>868</v>
      </c>
      <c r="B871" s="7">
        <v>4.7699999999999996</v>
      </c>
    </row>
    <row r="872" spans="1:2" x14ac:dyDescent="0.35">
      <c r="A872" s="2">
        <v>869</v>
      </c>
      <c r="B872" s="7">
        <v>4.42</v>
      </c>
    </row>
    <row r="873" spans="1:2" x14ac:dyDescent="0.35">
      <c r="A873" s="2">
        <v>870</v>
      </c>
      <c r="B873" s="7">
        <v>3.56</v>
      </c>
    </row>
    <row r="874" spans="1:2" x14ac:dyDescent="0.35">
      <c r="A874" s="2">
        <v>871</v>
      </c>
      <c r="B874" s="7">
        <v>4.8499999999999996</v>
      </c>
    </row>
    <row r="875" spans="1:2" x14ac:dyDescent="0.35">
      <c r="A875" s="2">
        <v>872</v>
      </c>
      <c r="B875" s="7">
        <v>4.34</v>
      </c>
    </row>
    <row r="876" spans="1:2" x14ac:dyDescent="0.35">
      <c r="A876" s="2">
        <v>873</v>
      </c>
      <c r="B876" s="7">
        <v>4.8</v>
      </c>
    </row>
    <row r="877" spans="1:2" x14ac:dyDescent="0.35">
      <c r="A877" s="2">
        <v>874</v>
      </c>
      <c r="B877" s="7">
        <v>4.75</v>
      </c>
    </row>
    <row r="878" spans="1:2" x14ac:dyDescent="0.35">
      <c r="A878" s="2">
        <v>875</v>
      </c>
      <c r="B878" s="7">
        <v>4.75</v>
      </c>
    </row>
    <row r="879" spans="1:2" x14ac:dyDescent="0.35">
      <c r="A879" s="2">
        <v>876</v>
      </c>
      <c r="B879" s="7">
        <v>4.55</v>
      </c>
    </row>
    <row r="880" spans="1:2" x14ac:dyDescent="0.35">
      <c r="A880" s="2">
        <v>877</v>
      </c>
      <c r="B880" s="7">
        <v>3.94</v>
      </c>
    </row>
    <row r="881" spans="1:2" x14ac:dyDescent="0.35">
      <c r="A881" s="2">
        <v>878</v>
      </c>
      <c r="B881" s="7">
        <v>4</v>
      </c>
    </row>
    <row r="882" spans="1:2" x14ac:dyDescent="0.35">
      <c r="A882" s="2">
        <v>879</v>
      </c>
      <c r="B882" s="7">
        <v>3.96</v>
      </c>
    </row>
    <row r="883" spans="1:2" x14ac:dyDescent="0.35">
      <c r="A883" s="2">
        <v>880</v>
      </c>
      <c r="B883" s="7">
        <v>3.53</v>
      </c>
    </row>
    <row r="884" spans="1:2" x14ac:dyDescent="0.35">
      <c r="A884" s="2">
        <v>881</v>
      </c>
      <c r="B884" s="7">
        <v>4.37</v>
      </c>
    </row>
    <row r="885" spans="1:2" x14ac:dyDescent="0.35">
      <c r="A885" s="2">
        <v>882</v>
      </c>
      <c r="B885" s="7">
        <v>4.55</v>
      </c>
    </row>
    <row r="886" spans="1:2" x14ac:dyDescent="0.35">
      <c r="A886" s="2">
        <v>883</v>
      </c>
      <c r="B886" s="7">
        <v>4.78</v>
      </c>
    </row>
    <row r="887" spans="1:2" x14ac:dyDescent="0.35">
      <c r="A887" s="2">
        <v>884</v>
      </c>
      <c r="B887" s="7">
        <v>3.71</v>
      </c>
    </row>
    <row r="888" spans="1:2" x14ac:dyDescent="0.35">
      <c r="A888" s="2">
        <v>885</v>
      </c>
      <c r="B888" s="7">
        <v>4.32</v>
      </c>
    </row>
    <row r="889" spans="1:2" x14ac:dyDescent="0.35">
      <c r="A889" s="2">
        <v>886</v>
      </c>
      <c r="B889" s="7">
        <v>3.51</v>
      </c>
    </row>
    <row r="890" spans="1:2" x14ac:dyDescent="0.35">
      <c r="A890" s="2">
        <v>887</v>
      </c>
      <c r="B890" s="7">
        <v>3.64</v>
      </c>
    </row>
    <row r="891" spans="1:2" x14ac:dyDescent="0.35">
      <c r="A891" s="2">
        <v>888</v>
      </c>
      <c r="B891" s="7">
        <v>3.58</v>
      </c>
    </row>
    <row r="892" spans="1:2" x14ac:dyDescent="0.35">
      <c r="A892" s="2">
        <v>889</v>
      </c>
      <c r="B892" s="7">
        <v>4.59</v>
      </c>
    </row>
    <row r="893" spans="1:2" x14ac:dyDescent="0.35">
      <c r="A893" s="2">
        <v>890</v>
      </c>
      <c r="B893" s="7">
        <v>3.62</v>
      </c>
    </row>
    <row r="894" spans="1:2" x14ac:dyDescent="0.35">
      <c r="A894" s="2">
        <v>891</v>
      </c>
      <c r="B894" s="7">
        <v>4.57</v>
      </c>
    </row>
    <row r="895" spans="1:2" x14ac:dyDescent="0.35">
      <c r="A895" s="2">
        <v>892</v>
      </c>
      <c r="B895" s="7">
        <v>3.87</v>
      </c>
    </row>
    <row r="896" spans="1:2" x14ac:dyDescent="0.35">
      <c r="A896" s="2">
        <v>893</v>
      </c>
      <c r="B896" s="7">
        <v>4.82</v>
      </c>
    </row>
    <row r="897" spans="1:2" x14ac:dyDescent="0.35">
      <c r="A897" s="2">
        <v>894</v>
      </c>
      <c r="B897" s="7">
        <v>4.72</v>
      </c>
    </row>
    <row r="898" spans="1:2" x14ac:dyDescent="0.35">
      <c r="A898" s="2">
        <v>895</v>
      </c>
      <c r="B898" s="7">
        <v>4.9400000000000004</v>
      </c>
    </row>
    <row r="899" spans="1:2" x14ac:dyDescent="0.35">
      <c r="A899" s="2">
        <v>896</v>
      </c>
      <c r="B899" s="7">
        <v>4.83</v>
      </c>
    </row>
    <row r="900" spans="1:2" x14ac:dyDescent="0.35">
      <c r="A900" s="2">
        <v>897</v>
      </c>
      <c r="B900" s="7">
        <v>4.9000000000000004</v>
      </c>
    </row>
    <row r="901" spans="1:2" x14ac:dyDescent="0.35">
      <c r="A901" s="2">
        <v>898</v>
      </c>
      <c r="B901" s="7">
        <v>4.79</v>
      </c>
    </row>
    <row r="902" spans="1:2" x14ac:dyDescent="0.35">
      <c r="A902" s="2">
        <v>899</v>
      </c>
      <c r="B902" s="7">
        <v>4.54</v>
      </c>
    </row>
    <row r="903" spans="1:2" x14ac:dyDescent="0.35">
      <c r="A903" s="2">
        <v>900</v>
      </c>
      <c r="B903" s="7">
        <v>3.76</v>
      </c>
    </row>
    <row r="904" spans="1:2" x14ac:dyDescent="0.35">
      <c r="A904" s="2">
        <v>901</v>
      </c>
      <c r="B904" s="7">
        <v>3.91</v>
      </c>
    </row>
    <row r="905" spans="1:2" x14ac:dyDescent="0.35">
      <c r="A905" s="2">
        <v>902</v>
      </c>
      <c r="B905" s="7">
        <v>3.82</v>
      </c>
    </row>
    <row r="906" spans="1:2" x14ac:dyDescent="0.35">
      <c r="A906" s="2">
        <v>903</v>
      </c>
      <c r="B906" s="7">
        <v>4.41</v>
      </c>
    </row>
    <row r="907" spans="1:2" x14ac:dyDescent="0.35">
      <c r="A907" s="2">
        <v>904</v>
      </c>
      <c r="B907" s="7">
        <v>4.26</v>
      </c>
    </row>
    <row r="908" spans="1:2" x14ac:dyDescent="0.35">
      <c r="A908" s="2">
        <v>905</v>
      </c>
      <c r="B908" s="7">
        <v>4.8</v>
      </c>
    </row>
    <row r="909" spans="1:2" x14ac:dyDescent="0.35">
      <c r="A909" s="2">
        <v>906</v>
      </c>
      <c r="B909" s="7">
        <v>4.93</v>
      </c>
    </row>
    <row r="910" spans="1:2" x14ac:dyDescent="0.35">
      <c r="A910" s="2">
        <v>907</v>
      </c>
      <c r="B910" s="7">
        <v>4.1100000000000003</v>
      </c>
    </row>
    <row r="911" spans="1:2" x14ac:dyDescent="0.35">
      <c r="A911" s="2">
        <v>908</v>
      </c>
      <c r="B911" s="7">
        <v>4.26</v>
      </c>
    </row>
    <row r="912" spans="1:2" x14ac:dyDescent="0.35">
      <c r="A912" s="2">
        <v>909</v>
      </c>
      <c r="B912" s="7">
        <v>4.96</v>
      </c>
    </row>
    <row r="913" spans="1:2" x14ac:dyDescent="0.35">
      <c r="A913" s="2">
        <v>910</v>
      </c>
      <c r="B913" s="7">
        <v>3.91</v>
      </c>
    </row>
    <row r="914" spans="1:2" x14ac:dyDescent="0.35">
      <c r="A914" s="2">
        <v>911</v>
      </c>
      <c r="B914" s="7">
        <v>4.6900000000000004</v>
      </c>
    </row>
    <row r="915" spans="1:2" x14ac:dyDescent="0.35">
      <c r="A915" s="2">
        <v>912</v>
      </c>
      <c r="B915" s="7">
        <v>3.84</v>
      </c>
    </row>
    <row r="916" spans="1:2" x14ac:dyDescent="0.35">
      <c r="A916" s="2">
        <v>913</v>
      </c>
      <c r="B916" s="7">
        <v>4.5199999999999996</v>
      </c>
    </row>
    <row r="917" spans="1:2" x14ac:dyDescent="0.35">
      <c r="A917" s="2">
        <v>914</v>
      </c>
      <c r="B917" s="7">
        <v>3.88</v>
      </c>
    </row>
    <row r="918" spans="1:2" x14ac:dyDescent="0.35">
      <c r="A918" s="2">
        <v>915</v>
      </c>
      <c r="B918" s="7">
        <v>4.83</v>
      </c>
    </row>
    <row r="919" spans="1:2" x14ac:dyDescent="0.35">
      <c r="A919" s="2">
        <v>916</v>
      </c>
      <c r="B919" s="7">
        <v>4.34</v>
      </c>
    </row>
    <row r="920" spans="1:2" x14ac:dyDescent="0.35">
      <c r="A920" s="2">
        <v>917</v>
      </c>
      <c r="B920" s="7">
        <v>3.78</v>
      </c>
    </row>
    <row r="921" spans="1:2" x14ac:dyDescent="0.35">
      <c r="A921" s="2">
        <v>918</v>
      </c>
      <c r="B921" s="7">
        <v>3.84</v>
      </c>
    </row>
    <row r="922" spans="1:2" x14ac:dyDescent="0.35">
      <c r="A922" s="2">
        <v>919</v>
      </c>
      <c r="B922" s="7">
        <v>4.24</v>
      </c>
    </row>
    <row r="923" spans="1:2" x14ac:dyDescent="0.35">
      <c r="A923" s="2">
        <v>920</v>
      </c>
      <c r="B923" s="7">
        <v>4.9400000000000004</v>
      </c>
    </row>
    <row r="924" spans="1:2" x14ac:dyDescent="0.35">
      <c r="A924" s="2">
        <v>921</v>
      </c>
      <c r="B924" s="7">
        <v>4.6500000000000004</v>
      </c>
    </row>
    <row r="925" spans="1:2" x14ac:dyDescent="0.35">
      <c r="A925" s="2">
        <v>922</v>
      </c>
      <c r="B925" s="7">
        <v>4.2300000000000004</v>
      </c>
    </row>
    <row r="926" spans="1:2" x14ac:dyDescent="0.35">
      <c r="A926" s="2">
        <v>923</v>
      </c>
      <c r="B926" s="7">
        <v>4.01</v>
      </c>
    </row>
    <row r="927" spans="1:2" x14ac:dyDescent="0.35">
      <c r="A927" s="2">
        <v>924</v>
      </c>
      <c r="B927" s="7">
        <v>4.32</v>
      </c>
    </row>
    <row r="928" spans="1:2" x14ac:dyDescent="0.35">
      <c r="A928" s="2">
        <v>925</v>
      </c>
      <c r="B928" s="7">
        <v>4.62</v>
      </c>
    </row>
    <row r="929" spans="1:2" x14ac:dyDescent="0.35">
      <c r="A929" s="2">
        <v>926</v>
      </c>
      <c r="B929" s="7">
        <v>4.68</v>
      </c>
    </row>
    <row r="930" spans="1:2" x14ac:dyDescent="0.35">
      <c r="A930" s="2">
        <v>927</v>
      </c>
      <c r="B930" s="7">
        <v>3.99</v>
      </c>
    </row>
    <row r="931" spans="1:2" x14ac:dyDescent="0.35">
      <c r="A931" s="2">
        <v>928</v>
      </c>
      <c r="B931" s="7">
        <v>4.58</v>
      </c>
    </row>
    <row r="932" spans="1:2" x14ac:dyDescent="0.35">
      <c r="A932" s="2">
        <v>929</v>
      </c>
      <c r="B932" s="7">
        <v>4.49</v>
      </c>
    </row>
    <row r="933" spans="1:2" x14ac:dyDescent="0.35">
      <c r="A933" s="2">
        <v>930</v>
      </c>
      <c r="B933" s="7">
        <v>4.9400000000000004</v>
      </c>
    </row>
    <row r="934" spans="1:2" x14ac:dyDescent="0.35">
      <c r="A934" s="2">
        <v>931</v>
      </c>
      <c r="B934" s="7">
        <v>4.9000000000000004</v>
      </c>
    </row>
    <row r="935" spans="1:2" x14ac:dyDescent="0.35">
      <c r="A935" s="2">
        <v>932</v>
      </c>
      <c r="B935" s="7">
        <v>4.68</v>
      </c>
    </row>
    <row r="936" spans="1:2" x14ac:dyDescent="0.35">
      <c r="A936" s="2">
        <v>933</v>
      </c>
      <c r="B936" s="7">
        <v>4.59</v>
      </c>
    </row>
    <row r="937" spans="1:2" x14ac:dyDescent="0.35">
      <c r="A937" s="2">
        <v>934</v>
      </c>
      <c r="B937" s="7">
        <v>3.91</v>
      </c>
    </row>
    <row r="938" spans="1:2" x14ac:dyDescent="0.35">
      <c r="A938" s="2">
        <v>935</v>
      </c>
      <c r="B938" s="7">
        <v>4.7699999999999996</v>
      </c>
    </row>
    <row r="939" spans="1:2" x14ac:dyDescent="0.35">
      <c r="A939" s="2">
        <v>936</v>
      </c>
      <c r="B939" s="7">
        <v>4.1399999999999997</v>
      </c>
    </row>
    <row r="940" spans="1:2" x14ac:dyDescent="0.35">
      <c r="A940" s="2">
        <v>937</v>
      </c>
      <c r="B940" s="7">
        <v>3.91</v>
      </c>
    </row>
    <row r="941" spans="1:2" x14ac:dyDescent="0.35">
      <c r="A941" s="2">
        <v>938</v>
      </c>
      <c r="B941" s="7">
        <v>4.08</v>
      </c>
    </row>
    <row r="942" spans="1:2" x14ac:dyDescent="0.35">
      <c r="A942" s="2">
        <v>939</v>
      </c>
      <c r="B942" s="7">
        <v>4.75</v>
      </c>
    </row>
    <row r="943" spans="1:2" x14ac:dyDescent="0.35">
      <c r="A943" s="2">
        <v>940</v>
      </c>
      <c r="B943" s="7">
        <v>3.72</v>
      </c>
    </row>
    <row r="944" spans="1:2" x14ac:dyDescent="0.35">
      <c r="A944" s="2">
        <v>941</v>
      </c>
      <c r="B944" s="7">
        <v>4.18</v>
      </c>
    </row>
    <row r="945" spans="1:2" x14ac:dyDescent="0.35">
      <c r="A945" s="2">
        <v>942</v>
      </c>
      <c r="B945" s="7">
        <v>4.24</v>
      </c>
    </row>
    <row r="946" spans="1:2" x14ac:dyDescent="0.35">
      <c r="A946" s="2">
        <v>943</v>
      </c>
      <c r="B946" s="7">
        <v>3.55</v>
      </c>
    </row>
    <row r="947" spans="1:2" x14ac:dyDescent="0.35">
      <c r="A947" s="2">
        <v>944</v>
      </c>
      <c r="B947" s="7">
        <v>3.79</v>
      </c>
    </row>
    <row r="948" spans="1:2" x14ac:dyDescent="0.35">
      <c r="A948" s="2">
        <v>945</v>
      </c>
      <c r="B948" s="7">
        <v>4.74</v>
      </c>
    </row>
    <row r="949" spans="1:2" x14ac:dyDescent="0.35">
      <c r="A949" s="2">
        <v>946</v>
      </c>
      <c r="B949" s="7">
        <v>4.75</v>
      </c>
    </row>
    <row r="950" spans="1:2" x14ac:dyDescent="0.35">
      <c r="A950" s="2">
        <v>947</v>
      </c>
      <c r="B950" s="7">
        <v>3.94</v>
      </c>
    </row>
    <row r="951" spans="1:2" x14ac:dyDescent="0.35">
      <c r="A951" s="2">
        <v>948</v>
      </c>
      <c r="B951" s="7">
        <v>4.8099999999999996</v>
      </c>
    </row>
    <row r="952" spans="1:2" x14ac:dyDescent="0.35">
      <c r="A952" s="2">
        <v>949</v>
      </c>
      <c r="B952" s="7">
        <v>4.66</v>
      </c>
    </row>
    <row r="953" spans="1:2" x14ac:dyDescent="0.35">
      <c r="A953" s="2">
        <v>950</v>
      </c>
      <c r="B953" s="7">
        <v>4.13</v>
      </c>
    </row>
    <row r="954" spans="1:2" x14ac:dyDescent="0.35">
      <c r="A954" s="2">
        <v>951</v>
      </c>
      <c r="B954" s="7">
        <v>4.62</v>
      </c>
    </row>
    <row r="955" spans="1:2" x14ac:dyDescent="0.35">
      <c r="A955" s="2">
        <v>952</v>
      </c>
      <c r="B955" s="7">
        <v>4.9400000000000004</v>
      </c>
    </row>
    <row r="956" spans="1:2" x14ac:dyDescent="0.35">
      <c r="A956" s="2">
        <v>953</v>
      </c>
      <c r="B956" s="7">
        <v>4.1900000000000004</v>
      </c>
    </row>
    <row r="957" spans="1:2" x14ac:dyDescent="0.35">
      <c r="A957" s="2">
        <v>954</v>
      </c>
      <c r="B957" s="7">
        <v>3.86</v>
      </c>
    </row>
    <row r="958" spans="1:2" x14ac:dyDescent="0.35">
      <c r="A958" s="2">
        <v>955</v>
      </c>
      <c r="B958" s="7">
        <v>4.91</v>
      </c>
    </row>
    <row r="959" spans="1:2" x14ac:dyDescent="0.35">
      <c r="A959" s="2">
        <v>956</v>
      </c>
      <c r="B959" s="7">
        <v>4.41</v>
      </c>
    </row>
    <row r="960" spans="1:2" x14ac:dyDescent="0.35">
      <c r="A960" s="2">
        <v>957</v>
      </c>
      <c r="B960" s="7">
        <v>3.66</v>
      </c>
    </row>
    <row r="961" spans="1:2" x14ac:dyDescent="0.35">
      <c r="A961" s="2">
        <v>958</v>
      </c>
      <c r="B961" s="7">
        <v>4.3600000000000003</v>
      </c>
    </row>
    <row r="962" spans="1:2" x14ac:dyDescent="0.35">
      <c r="A962" s="2">
        <v>959</v>
      </c>
      <c r="B962" s="7">
        <v>4.25</v>
      </c>
    </row>
    <row r="963" spans="1:2" x14ac:dyDescent="0.35">
      <c r="A963" s="2">
        <v>960</v>
      </c>
      <c r="B963" s="7">
        <v>4.78</v>
      </c>
    </row>
    <row r="964" spans="1:2" x14ac:dyDescent="0.35">
      <c r="A964" s="2">
        <v>961</v>
      </c>
      <c r="B964" s="7">
        <v>4.3</v>
      </c>
    </row>
    <row r="965" spans="1:2" x14ac:dyDescent="0.35">
      <c r="A965" s="2">
        <v>962</v>
      </c>
      <c r="B965" s="7">
        <v>3.88</v>
      </c>
    </row>
    <row r="966" spans="1:2" x14ac:dyDescent="0.35">
      <c r="A966" s="2">
        <v>963</v>
      </c>
      <c r="B966" s="7">
        <v>4.51</v>
      </c>
    </row>
    <row r="967" spans="1:2" x14ac:dyDescent="0.35">
      <c r="A967" s="2">
        <v>964</v>
      </c>
      <c r="B967" s="7">
        <v>4.3099999999999996</v>
      </c>
    </row>
    <row r="968" spans="1:2" x14ac:dyDescent="0.35">
      <c r="A968" s="2">
        <v>965</v>
      </c>
      <c r="B968" s="7">
        <v>3.85</v>
      </c>
    </row>
    <row r="969" spans="1:2" x14ac:dyDescent="0.35">
      <c r="A969" s="2">
        <v>966</v>
      </c>
      <c r="B969" s="7">
        <v>4.3600000000000003</v>
      </c>
    </row>
    <row r="970" spans="1:2" x14ac:dyDescent="0.35">
      <c r="A970" s="2">
        <v>967</v>
      </c>
      <c r="B970" s="7">
        <v>4.7300000000000004</v>
      </c>
    </row>
    <row r="971" spans="1:2" x14ac:dyDescent="0.35">
      <c r="A971" s="2">
        <v>968</v>
      </c>
      <c r="B971" s="7">
        <v>3.54</v>
      </c>
    </row>
    <row r="972" spans="1:2" x14ac:dyDescent="0.35">
      <c r="A972" s="2">
        <v>969</v>
      </c>
      <c r="B972" s="7">
        <v>4.45</v>
      </c>
    </row>
    <row r="973" spans="1:2" x14ac:dyDescent="0.35">
      <c r="A973" s="2">
        <v>970</v>
      </c>
      <c r="B973" s="7">
        <v>4.0199999999999996</v>
      </c>
    </row>
    <row r="974" spans="1:2" x14ac:dyDescent="0.35">
      <c r="A974" s="2">
        <v>971</v>
      </c>
      <c r="B974" s="7">
        <v>3.94</v>
      </c>
    </row>
    <row r="975" spans="1:2" x14ac:dyDescent="0.35">
      <c r="A975" s="2">
        <v>972</v>
      </c>
      <c r="B975" s="7">
        <v>4.09</v>
      </c>
    </row>
    <row r="976" spans="1:2" x14ac:dyDescent="0.35">
      <c r="A976" s="2">
        <v>973</v>
      </c>
      <c r="B976" s="7">
        <v>4.01</v>
      </c>
    </row>
    <row r="977" spans="1:2" x14ac:dyDescent="0.35">
      <c r="A977" s="2">
        <v>974</v>
      </c>
      <c r="B977" s="7">
        <v>4.75</v>
      </c>
    </row>
    <row r="978" spans="1:2" x14ac:dyDescent="0.35">
      <c r="A978" s="2">
        <v>975</v>
      </c>
      <c r="B978" s="7">
        <v>3.91</v>
      </c>
    </row>
    <row r="979" spans="1:2" x14ac:dyDescent="0.35">
      <c r="A979" s="2">
        <v>976</v>
      </c>
      <c r="B979" s="7">
        <v>4.5999999999999996</v>
      </c>
    </row>
    <row r="980" spans="1:2" x14ac:dyDescent="0.35">
      <c r="A980" s="2">
        <v>977</v>
      </c>
      <c r="B980" s="7">
        <v>3.64</v>
      </c>
    </row>
    <row r="981" spans="1:2" x14ac:dyDescent="0.35">
      <c r="A981" s="2">
        <v>978</v>
      </c>
      <c r="B981" s="7">
        <v>4.93</v>
      </c>
    </row>
    <row r="982" spans="1:2" x14ac:dyDescent="0.35">
      <c r="A982" s="2">
        <v>979</v>
      </c>
      <c r="B982" s="7">
        <v>4.43</v>
      </c>
    </row>
    <row r="983" spans="1:2" x14ac:dyDescent="0.35">
      <c r="A983" s="2">
        <v>980</v>
      </c>
      <c r="B983" s="7">
        <v>4.5599999999999996</v>
      </c>
    </row>
    <row r="984" spans="1:2" x14ac:dyDescent="0.35">
      <c r="A984" s="2">
        <v>981</v>
      </c>
      <c r="B984" s="7">
        <v>3.95</v>
      </c>
    </row>
    <row r="985" spans="1:2" x14ac:dyDescent="0.35">
      <c r="A985" s="2">
        <v>982</v>
      </c>
      <c r="B985" s="7">
        <v>4.12</v>
      </c>
    </row>
    <row r="986" spans="1:2" x14ac:dyDescent="0.35">
      <c r="A986" s="2">
        <v>983</v>
      </c>
      <c r="B986" s="7">
        <v>3.84</v>
      </c>
    </row>
    <row r="987" spans="1:2" x14ac:dyDescent="0.35">
      <c r="A987" s="2">
        <v>984</v>
      </c>
      <c r="B987" s="7">
        <v>4.9000000000000004</v>
      </c>
    </row>
    <row r="988" spans="1:2" x14ac:dyDescent="0.35">
      <c r="A988" s="2">
        <v>985</v>
      </c>
      <c r="B988" s="7">
        <v>4.2300000000000004</v>
      </c>
    </row>
    <row r="989" spans="1:2" x14ac:dyDescent="0.35">
      <c r="A989" s="2">
        <v>986</v>
      </c>
      <c r="B989" s="7">
        <v>4.45</v>
      </c>
    </row>
    <row r="990" spans="1:2" x14ac:dyDescent="0.35">
      <c r="A990" s="2">
        <v>987</v>
      </c>
      <c r="B990" s="7">
        <v>4.5999999999999996</v>
      </c>
    </row>
    <row r="991" spans="1:2" x14ac:dyDescent="0.35">
      <c r="A991" s="2">
        <v>988</v>
      </c>
      <c r="B991" s="7">
        <v>4.0599999999999996</v>
      </c>
    </row>
    <row r="992" spans="1:2" x14ac:dyDescent="0.35">
      <c r="A992" s="2">
        <v>989</v>
      </c>
      <c r="B992" s="7">
        <v>4.58</v>
      </c>
    </row>
    <row r="993" spans="1:2" x14ac:dyDescent="0.35">
      <c r="A993" s="2">
        <v>990</v>
      </c>
      <c r="B993" s="7">
        <v>4.51</v>
      </c>
    </row>
    <row r="994" spans="1:2" x14ac:dyDescent="0.35">
      <c r="A994" s="2">
        <v>991</v>
      </c>
      <c r="B994" s="7">
        <v>4.5599999999999996</v>
      </c>
    </row>
    <row r="995" spans="1:2" x14ac:dyDescent="0.35">
      <c r="A995" s="2">
        <v>992</v>
      </c>
      <c r="B995" s="7">
        <v>4.2300000000000004</v>
      </c>
    </row>
    <row r="996" spans="1:2" x14ac:dyDescent="0.35">
      <c r="A996" s="2">
        <v>993</v>
      </c>
      <c r="B996" s="7">
        <v>4.07</v>
      </c>
    </row>
    <row r="997" spans="1:2" x14ac:dyDescent="0.35">
      <c r="A997" s="2">
        <v>994</v>
      </c>
      <c r="B997" s="7">
        <v>3.83</v>
      </c>
    </row>
    <row r="998" spans="1:2" x14ac:dyDescent="0.35">
      <c r="A998" s="2">
        <v>995</v>
      </c>
      <c r="B998" s="7">
        <v>4.74</v>
      </c>
    </row>
    <row r="999" spans="1:2" x14ac:dyDescent="0.35">
      <c r="A999" s="2">
        <v>996</v>
      </c>
      <c r="B999" s="7">
        <v>4.41</v>
      </c>
    </row>
    <row r="1000" spans="1:2" x14ac:dyDescent="0.35">
      <c r="A1000" s="2">
        <v>997</v>
      </c>
      <c r="B1000" s="7">
        <v>4.17</v>
      </c>
    </row>
    <row r="1001" spans="1:2" x14ac:dyDescent="0.35">
      <c r="A1001" s="2">
        <v>998</v>
      </c>
      <c r="B1001" s="7">
        <v>4.92</v>
      </c>
    </row>
    <row r="1002" spans="1:2" x14ac:dyDescent="0.35">
      <c r="A1002" s="2">
        <v>999</v>
      </c>
      <c r="B1002" s="7">
        <v>3.57</v>
      </c>
    </row>
    <row r="1003" spans="1:2" x14ac:dyDescent="0.35">
      <c r="A1003" s="2">
        <v>1000</v>
      </c>
      <c r="B1003" s="7">
        <v>4.78</v>
      </c>
    </row>
    <row r="1004" spans="1:2" x14ac:dyDescent="0.35">
      <c r="A1004" s="2" t="s">
        <v>44</v>
      </c>
      <c r="B1004" s="7">
        <v>4256.9199999999992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2BBF9-D926-4E4E-B081-95E66D05AE1C}">
  <dimension ref="A1:Q1005"/>
  <sheetViews>
    <sheetView topLeftCell="A2" workbookViewId="0">
      <selection activeCell="A2" sqref="A2"/>
    </sheetView>
  </sheetViews>
  <sheetFormatPr defaultRowHeight="14.5" x14ac:dyDescent="0.35"/>
  <cols>
    <col min="1" max="1" width="12.54296875" bestFit="1" customWidth="1"/>
    <col min="2" max="2" width="9.26953125" bestFit="1" customWidth="1"/>
    <col min="3" max="3" width="6.1796875" bestFit="1" customWidth="1"/>
    <col min="4" max="4" width="11.54296875" bestFit="1" customWidth="1"/>
    <col min="5" max="5" width="13.54296875" bestFit="1" customWidth="1"/>
    <col min="6" max="6" width="13.81640625" bestFit="1" customWidth="1"/>
    <col min="7" max="7" width="12.81640625" bestFit="1" customWidth="1"/>
    <col min="8" max="8" width="18.1796875" bestFit="1" customWidth="1"/>
    <col min="9" max="9" width="15.7265625" bestFit="1" customWidth="1"/>
    <col min="10" max="10" width="16.54296875" bestFit="1" customWidth="1"/>
    <col min="11" max="11" width="16" bestFit="1" customWidth="1"/>
    <col min="12" max="12" width="14.81640625" bestFit="1" customWidth="1"/>
    <col min="13" max="13" width="11.54296875" bestFit="1" customWidth="1"/>
    <col min="14" max="14" width="11.90625" bestFit="1" customWidth="1"/>
    <col min="15" max="15" width="31.36328125" bestFit="1" customWidth="1"/>
    <col min="16" max="16" width="13" bestFit="1" customWidth="1"/>
    <col min="17" max="17" width="23.36328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v>1</v>
      </c>
      <c r="B2" t="s">
        <v>17</v>
      </c>
      <c r="C2">
        <v>16</v>
      </c>
      <c r="D2" t="s">
        <v>18</v>
      </c>
      <c r="E2" t="s">
        <v>19</v>
      </c>
      <c r="F2">
        <v>11</v>
      </c>
      <c r="G2">
        <v>0.7</v>
      </c>
      <c r="H2" t="s">
        <v>20</v>
      </c>
      <c r="I2">
        <v>49169</v>
      </c>
      <c r="J2" t="s">
        <v>21</v>
      </c>
      <c r="K2" t="s">
        <v>21</v>
      </c>
      <c r="L2">
        <v>4.83</v>
      </c>
      <c r="M2">
        <v>4.22</v>
      </c>
      <c r="N2">
        <v>5</v>
      </c>
      <c r="O2" t="s">
        <v>22</v>
      </c>
      <c r="P2" t="s">
        <v>23</v>
      </c>
      <c r="Q2" t="s">
        <v>24</v>
      </c>
    </row>
    <row r="3" spans="1:17" x14ac:dyDescent="0.35">
      <c r="A3">
        <v>2</v>
      </c>
      <c r="B3" t="s">
        <v>25</v>
      </c>
      <c r="C3">
        <v>17</v>
      </c>
      <c r="D3" t="s">
        <v>26</v>
      </c>
      <c r="E3" t="s">
        <v>19</v>
      </c>
      <c r="F3">
        <v>7</v>
      </c>
      <c r="G3">
        <v>0.76</v>
      </c>
      <c r="H3" t="s">
        <v>27</v>
      </c>
      <c r="I3">
        <v>57947</v>
      </c>
      <c r="J3" t="s">
        <v>28</v>
      </c>
      <c r="K3" t="s">
        <v>28</v>
      </c>
      <c r="L3">
        <v>4.96</v>
      </c>
      <c r="M3">
        <v>4.09</v>
      </c>
      <c r="N3">
        <v>4.7699999999999996</v>
      </c>
      <c r="O3" t="s">
        <v>22</v>
      </c>
      <c r="P3" t="s">
        <v>23</v>
      </c>
      <c r="Q3" t="s">
        <v>29</v>
      </c>
    </row>
    <row r="4" spans="1:17" x14ac:dyDescent="0.35">
      <c r="A4">
        <v>3</v>
      </c>
      <c r="B4" t="s">
        <v>17</v>
      </c>
      <c r="C4">
        <v>15</v>
      </c>
      <c r="D4" t="s">
        <v>30</v>
      </c>
      <c r="E4" t="s">
        <v>19</v>
      </c>
      <c r="F4">
        <v>27</v>
      </c>
      <c r="G4">
        <v>0.63</v>
      </c>
      <c r="H4" t="s">
        <v>31</v>
      </c>
      <c r="I4">
        <v>57224</v>
      </c>
      <c r="J4" t="s">
        <v>21</v>
      </c>
      <c r="K4" t="s">
        <v>21</v>
      </c>
      <c r="L4">
        <v>4.32</v>
      </c>
      <c r="M4">
        <v>4.8600000000000003</v>
      </c>
      <c r="N4">
        <v>4.62</v>
      </c>
      <c r="O4" t="s">
        <v>22</v>
      </c>
      <c r="P4" t="s">
        <v>32</v>
      </c>
      <c r="Q4" t="s">
        <v>24</v>
      </c>
    </row>
    <row r="5" spans="1:17" x14ac:dyDescent="0.35">
      <c r="A5">
        <v>4</v>
      </c>
      <c r="B5" t="s">
        <v>17</v>
      </c>
      <c r="C5">
        <v>15</v>
      </c>
      <c r="D5" t="s">
        <v>33</v>
      </c>
      <c r="E5" t="s">
        <v>19</v>
      </c>
      <c r="F5">
        <v>18</v>
      </c>
      <c r="G5">
        <v>0.84</v>
      </c>
      <c r="H5" t="s">
        <v>27</v>
      </c>
      <c r="I5">
        <v>55865</v>
      </c>
      <c r="J5" t="s">
        <v>28</v>
      </c>
      <c r="K5" t="s">
        <v>28</v>
      </c>
      <c r="L5">
        <v>4.63</v>
      </c>
      <c r="M5">
        <v>3.54</v>
      </c>
      <c r="N5">
        <v>3.75</v>
      </c>
      <c r="O5" t="s">
        <v>34</v>
      </c>
      <c r="P5" t="s">
        <v>32</v>
      </c>
      <c r="Q5" t="s">
        <v>29</v>
      </c>
    </row>
    <row r="6" spans="1:17" x14ac:dyDescent="0.35">
      <c r="A6">
        <v>5</v>
      </c>
      <c r="B6" t="s">
        <v>17</v>
      </c>
      <c r="C6">
        <v>15</v>
      </c>
      <c r="D6" t="s">
        <v>33</v>
      </c>
      <c r="E6" t="s">
        <v>35</v>
      </c>
      <c r="F6">
        <v>28</v>
      </c>
      <c r="G6">
        <v>0.89</v>
      </c>
      <c r="H6" t="s">
        <v>31</v>
      </c>
      <c r="I6">
        <v>35553</v>
      </c>
      <c r="J6" t="s">
        <v>28</v>
      </c>
      <c r="K6" t="s">
        <v>21</v>
      </c>
      <c r="L6">
        <v>4.5</v>
      </c>
      <c r="M6">
        <v>4.6500000000000004</v>
      </c>
      <c r="N6">
        <v>3.46</v>
      </c>
      <c r="O6" t="s">
        <v>36</v>
      </c>
      <c r="P6" t="s">
        <v>32</v>
      </c>
      <c r="Q6" t="s">
        <v>29</v>
      </c>
    </row>
    <row r="7" spans="1:17" x14ac:dyDescent="0.35">
      <c r="A7">
        <v>6</v>
      </c>
      <c r="B7" t="s">
        <v>25</v>
      </c>
      <c r="C7">
        <v>15</v>
      </c>
      <c r="D7" t="s">
        <v>37</v>
      </c>
      <c r="E7" t="s">
        <v>35</v>
      </c>
      <c r="F7">
        <v>14</v>
      </c>
      <c r="G7">
        <v>0.68</v>
      </c>
      <c r="H7" t="s">
        <v>31</v>
      </c>
      <c r="I7">
        <v>48965</v>
      </c>
      <c r="J7" t="s">
        <v>28</v>
      </c>
      <c r="K7" t="s">
        <v>21</v>
      </c>
      <c r="L7">
        <v>4.4000000000000004</v>
      </c>
      <c r="M7">
        <v>4.8499999999999996</v>
      </c>
      <c r="N7">
        <v>4.47</v>
      </c>
      <c r="O7" t="s">
        <v>34</v>
      </c>
      <c r="P7" t="s">
        <v>23</v>
      </c>
      <c r="Q7" t="s">
        <v>24</v>
      </c>
    </row>
    <row r="8" spans="1:17" x14ac:dyDescent="0.35">
      <c r="A8">
        <v>7</v>
      </c>
      <c r="B8" t="s">
        <v>17</v>
      </c>
      <c r="C8">
        <v>18</v>
      </c>
      <c r="D8" t="s">
        <v>33</v>
      </c>
      <c r="E8" t="s">
        <v>19</v>
      </c>
      <c r="F8">
        <v>20</v>
      </c>
      <c r="G8">
        <v>0.8</v>
      </c>
      <c r="H8" t="s">
        <v>27</v>
      </c>
      <c r="I8">
        <v>48218</v>
      </c>
      <c r="J8" t="s">
        <v>21</v>
      </c>
      <c r="K8" t="s">
        <v>28</v>
      </c>
      <c r="L8">
        <v>3.61</v>
      </c>
      <c r="M8">
        <v>4.17</v>
      </c>
      <c r="N8">
        <v>3.61</v>
      </c>
      <c r="O8" t="s">
        <v>34</v>
      </c>
      <c r="P8" t="s">
        <v>32</v>
      </c>
      <c r="Q8" t="s">
        <v>38</v>
      </c>
    </row>
    <row r="9" spans="1:17" x14ac:dyDescent="0.35">
      <c r="A9">
        <v>8</v>
      </c>
      <c r="B9" t="s">
        <v>17</v>
      </c>
      <c r="C9">
        <v>15</v>
      </c>
      <c r="D9" t="s">
        <v>18</v>
      </c>
      <c r="E9" t="s">
        <v>35</v>
      </c>
      <c r="F9">
        <v>20</v>
      </c>
      <c r="G9">
        <v>0.79</v>
      </c>
      <c r="H9" t="s">
        <v>27</v>
      </c>
      <c r="I9">
        <v>35359</v>
      </c>
      <c r="J9" t="s">
        <v>21</v>
      </c>
      <c r="K9" t="s">
        <v>28</v>
      </c>
      <c r="L9">
        <v>3.11</v>
      </c>
      <c r="M9">
        <v>4.33</v>
      </c>
      <c r="N9">
        <v>3.35</v>
      </c>
      <c r="O9" t="s">
        <v>36</v>
      </c>
      <c r="P9" t="s">
        <v>32</v>
      </c>
      <c r="Q9" t="s">
        <v>24</v>
      </c>
    </row>
    <row r="10" spans="1:17" x14ac:dyDescent="0.35">
      <c r="A10">
        <v>9</v>
      </c>
      <c r="B10" t="s">
        <v>17</v>
      </c>
      <c r="C10">
        <v>18</v>
      </c>
      <c r="D10" t="s">
        <v>39</v>
      </c>
      <c r="E10" t="s">
        <v>19</v>
      </c>
      <c r="F10">
        <v>26</v>
      </c>
      <c r="G10">
        <v>0.78</v>
      </c>
      <c r="H10" t="s">
        <v>40</v>
      </c>
      <c r="I10">
        <v>34816</v>
      </c>
      <c r="J10" t="s">
        <v>28</v>
      </c>
      <c r="K10" t="s">
        <v>21</v>
      </c>
      <c r="L10">
        <v>3.69</v>
      </c>
      <c r="M10">
        <v>4.92</v>
      </c>
      <c r="N10">
        <v>4.57</v>
      </c>
      <c r="O10" t="s">
        <v>22</v>
      </c>
      <c r="P10" t="s">
        <v>32</v>
      </c>
      <c r="Q10" t="s">
        <v>24</v>
      </c>
    </row>
    <row r="11" spans="1:17" x14ac:dyDescent="0.35">
      <c r="A11">
        <v>10</v>
      </c>
      <c r="B11" t="s">
        <v>25</v>
      </c>
      <c r="C11">
        <v>18</v>
      </c>
      <c r="D11" t="s">
        <v>41</v>
      </c>
      <c r="E11" t="s">
        <v>35</v>
      </c>
      <c r="F11">
        <v>14</v>
      </c>
      <c r="G11">
        <v>0.78</v>
      </c>
      <c r="H11" t="s">
        <v>40</v>
      </c>
      <c r="I11">
        <v>18378</v>
      </c>
      <c r="J11" t="s">
        <v>21</v>
      </c>
      <c r="K11" t="s">
        <v>21</v>
      </c>
      <c r="L11">
        <v>4.33</v>
      </c>
      <c r="M11">
        <v>3.82</v>
      </c>
      <c r="N11">
        <v>3.63</v>
      </c>
      <c r="O11" t="s">
        <v>34</v>
      </c>
      <c r="P11" t="s">
        <v>23</v>
      </c>
      <c r="Q11" t="s">
        <v>29</v>
      </c>
    </row>
    <row r="12" spans="1:17" x14ac:dyDescent="0.35">
      <c r="A12">
        <v>11</v>
      </c>
      <c r="B12" t="s">
        <v>17</v>
      </c>
      <c r="C12">
        <v>15</v>
      </c>
      <c r="D12" t="s">
        <v>18</v>
      </c>
      <c r="E12" t="s">
        <v>19</v>
      </c>
      <c r="F12">
        <v>29</v>
      </c>
      <c r="G12">
        <v>0.71</v>
      </c>
      <c r="H12" t="s">
        <v>40</v>
      </c>
      <c r="I12">
        <v>11881</v>
      </c>
      <c r="J12" t="s">
        <v>28</v>
      </c>
      <c r="K12" t="s">
        <v>21</v>
      </c>
      <c r="L12">
        <v>3.21</v>
      </c>
      <c r="M12">
        <v>4.28</v>
      </c>
      <c r="N12">
        <v>4.83</v>
      </c>
      <c r="O12" t="s">
        <v>22</v>
      </c>
      <c r="P12" t="s">
        <v>32</v>
      </c>
      <c r="Q12" t="s">
        <v>24</v>
      </c>
    </row>
    <row r="13" spans="1:17" x14ac:dyDescent="0.35">
      <c r="A13">
        <v>12</v>
      </c>
      <c r="B13" t="s">
        <v>17</v>
      </c>
      <c r="C13">
        <v>15</v>
      </c>
      <c r="D13" t="s">
        <v>39</v>
      </c>
      <c r="E13" t="s">
        <v>19</v>
      </c>
      <c r="F13">
        <v>17</v>
      </c>
      <c r="G13">
        <v>0.96</v>
      </c>
      <c r="H13" t="s">
        <v>31</v>
      </c>
      <c r="I13">
        <v>49567</v>
      </c>
      <c r="J13" t="s">
        <v>21</v>
      </c>
      <c r="K13" t="s">
        <v>28</v>
      </c>
      <c r="L13">
        <v>3.02</v>
      </c>
      <c r="M13">
        <v>4.21</v>
      </c>
      <c r="N13">
        <v>4.68</v>
      </c>
      <c r="O13" t="s">
        <v>22</v>
      </c>
      <c r="P13" t="s">
        <v>32</v>
      </c>
      <c r="Q13" t="s">
        <v>24</v>
      </c>
    </row>
    <row r="14" spans="1:17" x14ac:dyDescent="0.35">
      <c r="A14">
        <v>13</v>
      </c>
      <c r="B14" t="s">
        <v>17</v>
      </c>
      <c r="C14">
        <v>16</v>
      </c>
      <c r="D14" t="s">
        <v>30</v>
      </c>
      <c r="E14" t="s">
        <v>35</v>
      </c>
      <c r="F14">
        <v>10</v>
      </c>
      <c r="G14">
        <v>0.76</v>
      </c>
      <c r="H14" t="s">
        <v>27</v>
      </c>
      <c r="I14">
        <v>57365</v>
      </c>
      <c r="J14" t="s">
        <v>28</v>
      </c>
      <c r="K14" t="s">
        <v>28</v>
      </c>
      <c r="L14">
        <v>3.28</v>
      </c>
      <c r="M14">
        <v>3.89</v>
      </c>
      <c r="N14">
        <v>4.7</v>
      </c>
      <c r="O14" t="s">
        <v>22</v>
      </c>
      <c r="P14" t="s">
        <v>23</v>
      </c>
      <c r="Q14" t="s">
        <v>24</v>
      </c>
    </row>
    <row r="15" spans="1:17" x14ac:dyDescent="0.35">
      <c r="A15">
        <v>14</v>
      </c>
      <c r="B15" t="s">
        <v>17</v>
      </c>
      <c r="C15">
        <v>17</v>
      </c>
      <c r="D15" t="s">
        <v>33</v>
      </c>
      <c r="E15" t="s">
        <v>35</v>
      </c>
      <c r="F15">
        <v>16</v>
      </c>
      <c r="G15">
        <v>0.96</v>
      </c>
      <c r="H15" t="s">
        <v>20</v>
      </c>
      <c r="I15">
        <v>23675</v>
      </c>
      <c r="J15" t="s">
        <v>21</v>
      </c>
      <c r="K15" t="s">
        <v>21</v>
      </c>
      <c r="L15">
        <v>4.43</v>
      </c>
      <c r="M15">
        <v>4.7300000000000004</v>
      </c>
      <c r="N15">
        <v>4.54</v>
      </c>
      <c r="O15" t="s">
        <v>22</v>
      </c>
      <c r="P15" t="s">
        <v>32</v>
      </c>
      <c r="Q15" t="s">
        <v>24</v>
      </c>
    </row>
    <row r="16" spans="1:17" x14ac:dyDescent="0.35">
      <c r="A16">
        <v>15</v>
      </c>
      <c r="B16" t="s">
        <v>25</v>
      </c>
      <c r="C16">
        <v>15</v>
      </c>
      <c r="D16" t="s">
        <v>30</v>
      </c>
      <c r="E16" t="s">
        <v>19</v>
      </c>
      <c r="F16">
        <v>13</v>
      </c>
      <c r="G16">
        <v>0.98</v>
      </c>
      <c r="H16" t="s">
        <v>31</v>
      </c>
      <c r="I16">
        <v>14586</v>
      </c>
      <c r="J16" t="s">
        <v>28</v>
      </c>
      <c r="K16" t="s">
        <v>21</v>
      </c>
      <c r="L16">
        <v>4.95</v>
      </c>
      <c r="M16">
        <v>4.8499999999999996</v>
      </c>
      <c r="N16">
        <v>4.76</v>
      </c>
      <c r="O16" t="s">
        <v>22</v>
      </c>
      <c r="P16" t="s">
        <v>23</v>
      </c>
      <c r="Q16" t="s">
        <v>29</v>
      </c>
    </row>
    <row r="17" spans="1:17" x14ac:dyDescent="0.35">
      <c r="A17">
        <v>16</v>
      </c>
      <c r="B17" t="s">
        <v>17</v>
      </c>
      <c r="C17">
        <v>16</v>
      </c>
      <c r="D17" t="s">
        <v>33</v>
      </c>
      <c r="E17" t="s">
        <v>19</v>
      </c>
      <c r="F17">
        <v>17</v>
      </c>
      <c r="G17">
        <v>0.87</v>
      </c>
      <c r="H17" t="s">
        <v>20</v>
      </c>
      <c r="I17">
        <v>35006</v>
      </c>
      <c r="J17" t="s">
        <v>28</v>
      </c>
      <c r="K17" t="s">
        <v>28</v>
      </c>
      <c r="L17">
        <v>4.97</v>
      </c>
      <c r="M17">
        <v>4.67</v>
      </c>
      <c r="N17">
        <v>4.6100000000000003</v>
      </c>
      <c r="O17" t="s">
        <v>22</v>
      </c>
      <c r="P17" t="s">
        <v>32</v>
      </c>
      <c r="Q17" t="s">
        <v>29</v>
      </c>
    </row>
    <row r="18" spans="1:17" x14ac:dyDescent="0.35">
      <c r="A18">
        <v>17</v>
      </c>
      <c r="B18" t="s">
        <v>25</v>
      </c>
      <c r="C18">
        <v>16</v>
      </c>
      <c r="D18" t="s">
        <v>41</v>
      </c>
      <c r="E18" t="s">
        <v>35</v>
      </c>
      <c r="F18">
        <v>8</v>
      </c>
      <c r="G18">
        <v>0.94</v>
      </c>
      <c r="H18" t="s">
        <v>27</v>
      </c>
      <c r="I18">
        <v>51198</v>
      </c>
      <c r="J18" t="s">
        <v>28</v>
      </c>
      <c r="K18" t="s">
        <v>21</v>
      </c>
      <c r="L18">
        <v>3.99</v>
      </c>
      <c r="M18">
        <v>3.79</v>
      </c>
      <c r="N18">
        <v>4.21</v>
      </c>
      <c r="O18" t="s">
        <v>34</v>
      </c>
      <c r="P18" t="s">
        <v>23</v>
      </c>
      <c r="Q18" t="s">
        <v>24</v>
      </c>
    </row>
    <row r="19" spans="1:17" x14ac:dyDescent="0.35">
      <c r="A19">
        <v>18</v>
      </c>
      <c r="B19" t="s">
        <v>25</v>
      </c>
      <c r="C19">
        <v>17</v>
      </c>
      <c r="D19" t="s">
        <v>42</v>
      </c>
      <c r="E19" t="s">
        <v>35</v>
      </c>
      <c r="F19">
        <v>28</v>
      </c>
      <c r="G19">
        <v>0.77</v>
      </c>
      <c r="H19" t="s">
        <v>31</v>
      </c>
      <c r="I19">
        <v>32831</v>
      </c>
      <c r="J19" t="s">
        <v>28</v>
      </c>
      <c r="K19" t="s">
        <v>28</v>
      </c>
      <c r="L19">
        <v>4.74</v>
      </c>
      <c r="M19">
        <v>3.63</v>
      </c>
      <c r="N19">
        <v>3.59</v>
      </c>
      <c r="O19" t="s">
        <v>34</v>
      </c>
      <c r="P19" t="s">
        <v>32</v>
      </c>
      <c r="Q19" t="s">
        <v>29</v>
      </c>
    </row>
    <row r="20" spans="1:17" x14ac:dyDescent="0.35">
      <c r="A20">
        <v>19</v>
      </c>
      <c r="B20" t="s">
        <v>25</v>
      </c>
      <c r="C20">
        <v>18</v>
      </c>
      <c r="D20" t="s">
        <v>41</v>
      </c>
      <c r="E20" t="s">
        <v>19</v>
      </c>
      <c r="F20">
        <v>15</v>
      </c>
      <c r="G20">
        <v>0.73</v>
      </c>
      <c r="H20" t="s">
        <v>20</v>
      </c>
      <c r="I20">
        <v>45113</v>
      </c>
      <c r="J20" t="s">
        <v>21</v>
      </c>
      <c r="K20" t="s">
        <v>28</v>
      </c>
      <c r="L20">
        <v>4.47</v>
      </c>
      <c r="M20">
        <v>4.41</v>
      </c>
      <c r="N20">
        <v>4.78</v>
      </c>
      <c r="O20" t="s">
        <v>22</v>
      </c>
      <c r="P20" t="s">
        <v>32</v>
      </c>
      <c r="Q20" t="s">
        <v>24</v>
      </c>
    </row>
    <row r="21" spans="1:17" x14ac:dyDescent="0.35">
      <c r="A21">
        <v>20</v>
      </c>
      <c r="B21" t="s">
        <v>17</v>
      </c>
      <c r="C21">
        <v>15</v>
      </c>
      <c r="D21" t="s">
        <v>26</v>
      </c>
      <c r="E21" t="s">
        <v>35</v>
      </c>
      <c r="F21">
        <v>24</v>
      </c>
      <c r="G21">
        <v>0.94</v>
      </c>
      <c r="H21" t="s">
        <v>20</v>
      </c>
      <c r="I21">
        <v>26459</v>
      </c>
      <c r="J21" t="s">
        <v>28</v>
      </c>
      <c r="K21" t="s">
        <v>28</v>
      </c>
      <c r="L21">
        <v>4</v>
      </c>
      <c r="M21">
        <v>3.59</v>
      </c>
      <c r="N21">
        <v>4.68</v>
      </c>
      <c r="O21" t="s">
        <v>22</v>
      </c>
      <c r="P21" t="s">
        <v>32</v>
      </c>
      <c r="Q21" t="s">
        <v>24</v>
      </c>
    </row>
    <row r="22" spans="1:17" x14ac:dyDescent="0.35">
      <c r="A22">
        <v>21</v>
      </c>
      <c r="B22" t="s">
        <v>25</v>
      </c>
      <c r="C22">
        <v>17</v>
      </c>
      <c r="D22" t="s">
        <v>18</v>
      </c>
      <c r="E22" t="s">
        <v>19</v>
      </c>
      <c r="F22">
        <v>22</v>
      </c>
      <c r="G22">
        <v>0.66</v>
      </c>
      <c r="H22" t="s">
        <v>40</v>
      </c>
      <c r="I22">
        <v>42443</v>
      </c>
      <c r="J22" t="s">
        <v>21</v>
      </c>
      <c r="K22" t="s">
        <v>28</v>
      </c>
      <c r="L22">
        <v>4.1500000000000004</v>
      </c>
      <c r="M22">
        <v>4.51</v>
      </c>
      <c r="N22">
        <v>3.95</v>
      </c>
      <c r="O22" t="s">
        <v>34</v>
      </c>
      <c r="P22" t="s">
        <v>32</v>
      </c>
      <c r="Q22" t="s">
        <v>29</v>
      </c>
    </row>
    <row r="23" spans="1:17" x14ac:dyDescent="0.35">
      <c r="A23">
        <v>22</v>
      </c>
      <c r="B23" t="s">
        <v>17</v>
      </c>
      <c r="C23">
        <v>15</v>
      </c>
      <c r="D23" t="s">
        <v>37</v>
      </c>
      <c r="E23" t="s">
        <v>19</v>
      </c>
      <c r="F23">
        <v>15</v>
      </c>
      <c r="G23">
        <v>0.72</v>
      </c>
      <c r="H23" t="s">
        <v>40</v>
      </c>
      <c r="I23">
        <v>52316</v>
      </c>
      <c r="J23" t="s">
        <v>21</v>
      </c>
      <c r="K23" t="s">
        <v>28</v>
      </c>
      <c r="L23">
        <v>3.27</v>
      </c>
      <c r="M23">
        <v>4.3</v>
      </c>
      <c r="N23">
        <v>3.08</v>
      </c>
      <c r="O23" t="s">
        <v>36</v>
      </c>
      <c r="P23" t="s">
        <v>32</v>
      </c>
      <c r="Q23" t="s">
        <v>29</v>
      </c>
    </row>
    <row r="24" spans="1:17" x14ac:dyDescent="0.35">
      <c r="A24">
        <v>23</v>
      </c>
      <c r="B24" t="s">
        <v>25</v>
      </c>
      <c r="C24">
        <v>16</v>
      </c>
      <c r="D24" t="s">
        <v>42</v>
      </c>
      <c r="E24" t="s">
        <v>19</v>
      </c>
      <c r="F24">
        <v>29</v>
      </c>
      <c r="G24">
        <v>0.77</v>
      </c>
      <c r="H24" t="s">
        <v>40</v>
      </c>
      <c r="I24">
        <v>40595</v>
      </c>
      <c r="J24" t="s">
        <v>28</v>
      </c>
      <c r="K24" t="s">
        <v>28</v>
      </c>
      <c r="L24">
        <v>4.88</v>
      </c>
      <c r="M24">
        <v>4.49</v>
      </c>
      <c r="N24">
        <v>4.28</v>
      </c>
      <c r="O24" t="s">
        <v>34</v>
      </c>
      <c r="P24" t="s">
        <v>32</v>
      </c>
      <c r="Q24" t="s">
        <v>29</v>
      </c>
    </row>
    <row r="25" spans="1:17" x14ac:dyDescent="0.35">
      <c r="A25">
        <v>24</v>
      </c>
      <c r="B25" t="s">
        <v>25</v>
      </c>
      <c r="C25">
        <v>16</v>
      </c>
      <c r="D25" t="s">
        <v>41</v>
      </c>
      <c r="E25" t="s">
        <v>19</v>
      </c>
      <c r="F25">
        <v>25</v>
      </c>
      <c r="G25">
        <v>0.96</v>
      </c>
      <c r="H25" t="s">
        <v>31</v>
      </c>
      <c r="I25">
        <v>15877</v>
      </c>
      <c r="J25" t="s">
        <v>21</v>
      </c>
      <c r="K25" t="s">
        <v>21</v>
      </c>
      <c r="L25">
        <v>3.7</v>
      </c>
      <c r="M25">
        <v>4.3899999999999997</v>
      </c>
      <c r="N25">
        <v>3.1</v>
      </c>
      <c r="O25" t="s">
        <v>36</v>
      </c>
      <c r="P25" t="s">
        <v>32</v>
      </c>
      <c r="Q25" t="s">
        <v>29</v>
      </c>
    </row>
    <row r="26" spans="1:17" x14ac:dyDescent="0.35">
      <c r="A26">
        <v>25</v>
      </c>
      <c r="B26" t="s">
        <v>25</v>
      </c>
      <c r="C26">
        <v>18</v>
      </c>
      <c r="D26" t="s">
        <v>39</v>
      </c>
      <c r="E26" t="s">
        <v>35</v>
      </c>
      <c r="F26">
        <v>8</v>
      </c>
      <c r="G26">
        <v>0.72</v>
      </c>
      <c r="H26" t="s">
        <v>27</v>
      </c>
      <c r="I26">
        <v>49553</v>
      </c>
      <c r="J26" t="s">
        <v>21</v>
      </c>
      <c r="K26" t="s">
        <v>28</v>
      </c>
      <c r="L26">
        <v>3.89</v>
      </c>
      <c r="M26">
        <v>4.13</v>
      </c>
      <c r="N26">
        <v>4.8499999999999996</v>
      </c>
      <c r="O26" t="s">
        <v>22</v>
      </c>
      <c r="P26" t="s">
        <v>23</v>
      </c>
      <c r="Q26" t="s">
        <v>24</v>
      </c>
    </row>
    <row r="27" spans="1:17" x14ac:dyDescent="0.35">
      <c r="A27">
        <v>26</v>
      </c>
      <c r="B27" t="s">
        <v>25</v>
      </c>
      <c r="C27">
        <v>16</v>
      </c>
      <c r="D27" t="s">
        <v>42</v>
      </c>
      <c r="E27" t="s">
        <v>35</v>
      </c>
      <c r="F27">
        <v>22</v>
      </c>
      <c r="G27">
        <v>0.95</v>
      </c>
      <c r="H27" t="s">
        <v>27</v>
      </c>
      <c r="I27">
        <v>58601</v>
      </c>
      <c r="J27" t="s">
        <v>21</v>
      </c>
      <c r="K27" t="s">
        <v>28</v>
      </c>
      <c r="L27">
        <v>4.34</v>
      </c>
      <c r="M27">
        <v>3.8</v>
      </c>
      <c r="N27">
        <v>4.92</v>
      </c>
      <c r="O27" t="s">
        <v>22</v>
      </c>
      <c r="P27" t="s">
        <v>32</v>
      </c>
      <c r="Q27" t="s">
        <v>24</v>
      </c>
    </row>
    <row r="28" spans="1:17" x14ac:dyDescent="0.35">
      <c r="A28">
        <v>27</v>
      </c>
      <c r="B28" t="s">
        <v>25</v>
      </c>
      <c r="C28">
        <v>16</v>
      </c>
      <c r="D28" t="s">
        <v>18</v>
      </c>
      <c r="E28" t="s">
        <v>35</v>
      </c>
      <c r="F28">
        <v>5</v>
      </c>
      <c r="G28">
        <v>0.9</v>
      </c>
      <c r="H28" t="s">
        <v>40</v>
      </c>
      <c r="I28">
        <v>14922</v>
      </c>
      <c r="J28" t="s">
        <v>28</v>
      </c>
      <c r="K28" t="s">
        <v>21</v>
      </c>
      <c r="L28">
        <v>3.67</v>
      </c>
      <c r="M28">
        <v>3.96</v>
      </c>
      <c r="N28">
        <v>3.38</v>
      </c>
      <c r="O28" t="s">
        <v>36</v>
      </c>
      <c r="P28" t="s">
        <v>23</v>
      </c>
      <c r="Q28" t="s">
        <v>29</v>
      </c>
    </row>
    <row r="29" spans="1:17" x14ac:dyDescent="0.35">
      <c r="A29">
        <v>28</v>
      </c>
      <c r="B29" t="s">
        <v>25</v>
      </c>
      <c r="C29">
        <v>17</v>
      </c>
      <c r="D29" t="s">
        <v>33</v>
      </c>
      <c r="E29" t="s">
        <v>35</v>
      </c>
      <c r="F29">
        <v>11</v>
      </c>
      <c r="G29">
        <v>0.61</v>
      </c>
      <c r="H29" t="s">
        <v>40</v>
      </c>
      <c r="I29">
        <v>14686</v>
      </c>
      <c r="J29" t="s">
        <v>21</v>
      </c>
      <c r="K29" t="s">
        <v>28</v>
      </c>
      <c r="L29">
        <v>3.51</v>
      </c>
      <c r="M29">
        <v>4.29</v>
      </c>
      <c r="N29">
        <v>4.3499999999999996</v>
      </c>
      <c r="O29" t="s">
        <v>34</v>
      </c>
      <c r="P29" t="s">
        <v>23</v>
      </c>
      <c r="Q29" t="s">
        <v>24</v>
      </c>
    </row>
    <row r="30" spans="1:17" x14ac:dyDescent="0.35">
      <c r="A30">
        <v>29</v>
      </c>
      <c r="B30" t="s">
        <v>25</v>
      </c>
      <c r="C30">
        <v>15</v>
      </c>
      <c r="D30" t="s">
        <v>42</v>
      </c>
      <c r="E30" t="s">
        <v>35</v>
      </c>
      <c r="F30">
        <v>10</v>
      </c>
      <c r="G30">
        <v>0.75</v>
      </c>
      <c r="H30" t="s">
        <v>40</v>
      </c>
      <c r="I30">
        <v>42766</v>
      </c>
      <c r="J30" t="s">
        <v>21</v>
      </c>
      <c r="K30" t="s">
        <v>21</v>
      </c>
      <c r="L30">
        <v>4.26</v>
      </c>
      <c r="M30">
        <v>4.4800000000000004</v>
      </c>
      <c r="N30">
        <v>3.18</v>
      </c>
      <c r="O30" t="s">
        <v>36</v>
      </c>
      <c r="P30" t="s">
        <v>23</v>
      </c>
      <c r="Q30" t="s">
        <v>29</v>
      </c>
    </row>
    <row r="31" spans="1:17" x14ac:dyDescent="0.35">
      <c r="A31">
        <v>30</v>
      </c>
      <c r="B31" t="s">
        <v>25</v>
      </c>
      <c r="C31">
        <v>15</v>
      </c>
      <c r="D31" t="s">
        <v>33</v>
      </c>
      <c r="E31" t="s">
        <v>35</v>
      </c>
      <c r="F31">
        <v>19</v>
      </c>
      <c r="G31">
        <v>0.68</v>
      </c>
      <c r="H31" t="s">
        <v>20</v>
      </c>
      <c r="I31">
        <v>24407</v>
      </c>
      <c r="J31" t="s">
        <v>28</v>
      </c>
      <c r="K31" t="s">
        <v>28</v>
      </c>
      <c r="L31">
        <v>3.05</v>
      </c>
      <c r="M31">
        <v>4.67</v>
      </c>
      <c r="N31">
        <v>4.46</v>
      </c>
      <c r="O31" t="s">
        <v>34</v>
      </c>
      <c r="P31" t="s">
        <v>32</v>
      </c>
      <c r="Q31" t="s">
        <v>24</v>
      </c>
    </row>
    <row r="32" spans="1:17" x14ac:dyDescent="0.35">
      <c r="A32">
        <v>31</v>
      </c>
      <c r="B32" t="s">
        <v>17</v>
      </c>
      <c r="C32">
        <v>17</v>
      </c>
      <c r="D32" t="s">
        <v>18</v>
      </c>
      <c r="E32" t="s">
        <v>35</v>
      </c>
      <c r="F32">
        <v>22</v>
      </c>
      <c r="G32">
        <v>0.68</v>
      </c>
      <c r="H32" t="s">
        <v>40</v>
      </c>
      <c r="I32">
        <v>42006</v>
      </c>
      <c r="J32" t="s">
        <v>28</v>
      </c>
      <c r="K32" t="s">
        <v>21</v>
      </c>
      <c r="L32">
        <v>4.4400000000000004</v>
      </c>
      <c r="M32">
        <v>4.6500000000000004</v>
      </c>
      <c r="N32">
        <v>3.69</v>
      </c>
      <c r="O32" t="s">
        <v>34</v>
      </c>
      <c r="P32" t="s">
        <v>32</v>
      </c>
      <c r="Q32" t="s">
        <v>29</v>
      </c>
    </row>
    <row r="33" spans="1:17" x14ac:dyDescent="0.35">
      <c r="A33">
        <v>32</v>
      </c>
      <c r="B33" t="s">
        <v>17</v>
      </c>
      <c r="C33">
        <v>18</v>
      </c>
      <c r="D33" t="s">
        <v>41</v>
      </c>
      <c r="E33" t="s">
        <v>19</v>
      </c>
      <c r="F33">
        <v>28</v>
      </c>
      <c r="G33">
        <v>0.97</v>
      </c>
      <c r="H33" t="s">
        <v>20</v>
      </c>
      <c r="I33">
        <v>41422</v>
      </c>
      <c r="J33" t="s">
        <v>21</v>
      </c>
      <c r="K33" t="s">
        <v>21</v>
      </c>
      <c r="L33">
        <v>4.03</v>
      </c>
      <c r="M33">
        <v>4.96</v>
      </c>
      <c r="N33">
        <v>4.3600000000000003</v>
      </c>
      <c r="O33" t="s">
        <v>34</v>
      </c>
      <c r="P33" t="s">
        <v>32</v>
      </c>
      <c r="Q33" t="s">
        <v>24</v>
      </c>
    </row>
    <row r="34" spans="1:17" x14ac:dyDescent="0.35">
      <c r="A34">
        <v>33</v>
      </c>
      <c r="B34" t="s">
        <v>25</v>
      </c>
      <c r="C34">
        <v>15</v>
      </c>
      <c r="D34" t="s">
        <v>18</v>
      </c>
      <c r="E34" t="s">
        <v>35</v>
      </c>
      <c r="F34">
        <v>15</v>
      </c>
      <c r="G34">
        <v>0.7</v>
      </c>
      <c r="H34" t="s">
        <v>27</v>
      </c>
      <c r="I34">
        <v>22205</v>
      </c>
      <c r="J34" t="s">
        <v>28</v>
      </c>
      <c r="K34" t="s">
        <v>28</v>
      </c>
      <c r="L34">
        <v>4.21</v>
      </c>
      <c r="M34">
        <v>3.93</v>
      </c>
      <c r="N34">
        <v>3.75</v>
      </c>
      <c r="O34" t="s">
        <v>34</v>
      </c>
      <c r="P34" t="s">
        <v>32</v>
      </c>
      <c r="Q34" t="s">
        <v>29</v>
      </c>
    </row>
    <row r="35" spans="1:17" x14ac:dyDescent="0.35">
      <c r="A35">
        <v>34</v>
      </c>
      <c r="B35" t="s">
        <v>25</v>
      </c>
      <c r="C35">
        <v>16</v>
      </c>
      <c r="D35" t="s">
        <v>42</v>
      </c>
      <c r="E35" t="s">
        <v>35</v>
      </c>
      <c r="F35">
        <v>24</v>
      </c>
      <c r="G35">
        <v>0.81</v>
      </c>
      <c r="H35" t="s">
        <v>31</v>
      </c>
      <c r="I35">
        <v>31054</v>
      </c>
      <c r="J35" t="s">
        <v>21</v>
      </c>
      <c r="K35" t="s">
        <v>28</v>
      </c>
      <c r="L35">
        <v>4.26</v>
      </c>
      <c r="M35">
        <v>3.61</v>
      </c>
      <c r="N35">
        <v>3.29</v>
      </c>
      <c r="O35" t="s">
        <v>36</v>
      </c>
      <c r="P35" t="s">
        <v>32</v>
      </c>
      <c r="Q35" t="s">
        <v>29</v>
      </c>
    </row>
    <row r="36" spans="1:17" x14ac:dyDescent="0.35">
      <c r="A36">
        <v>35</v>
      </c>
      <c r="B36" t="s">
        <v>25</v>
      </c>
      <c r="C36">
        <v>15</v>
      </c>
      <c r="D36" t="s">
        <v>39</v>
      </c>
      <c r="E36" t="s">
        <v>19</v>
      </c>
      <c r="F36">
        <v>28</v>
      </c>
      <c r="G36">
        <v>0.92</v>
      </c>
      <c r="H36" t="s">
        <v>31</v>
      </c>
      <c r="I36">
        <v>33527</v>
      </c>
      <c r="J36" t="s">
        <v>21</v>
      </c>
      <c r="K36" t="s">
        <v>28</v>
      </c>
      <c r="L36">
        <v>4.05</v>
      </c>
      <c r="M36">
        <v>4.0199999999999996</v>
      </c>
      <c r="N36">
        <v>3.81</v>
      </c>
      <c r="O36" t="s">
        <v>34</v>
      </c>
      <c r="P36" t="s">
        <v>32</v>
      </c>
      <c r="Q36" t="s">
        <v>29</v>
      </c>
    </row>
    <row r="37" spans="1:17" x14ac:dyDescent="0.35">
      <c r="A37">
        <v>36</v>
      </c>
      <c r="B37" t="s">
        <v>17</v>
      </c>
      <c r="C37">
        <v>16</v>
      </c>
      <c r="D37" t="s">
        <v>30</v>
      </c>
      <c r="E37" t="s">
        <v>35</v>
      </c>
      <c r="F37">
        <v>19</v>
      </c>
      <c r="G37">
        <v>0.95</v>
      </c>
      <c r="H37" t="s">
        <v>31</v>
      </c>
      <c r="I37">
        <v>55947</v>
      </c>
      <c r="J37" t="s">
        <v>21</v>
      </c>
      <c r="K37" t="s">
        <v>28</v>
      </c>
      <c r="L37">
        <v>4.17</v>
      </c>
      <c r="M37">
        <v>4.6100000000000003</v>
      </c>
      <c r="N37">
        <v>3.23</v>
      </c>
      <c r="O37" t="s">
        <v>36</v>
      </c>
      <c r="P37" t="s">
        <v>32</v>
      </c>
      <c r="Q37" t="s">
        <v>29</v>
      </c>
    </row>
    <row r="38" spans="1:17" x14ac:dyDescent="0.35">
      <c r="A38">
        <v>37</v>
      </c>
      <c r="B38" t="s">
        <v>25</v>
      </c>
      <c r="C38">
        <v>18</v>
      </c>
      <c r="D38" t="s">
        <v>42</v>
      </c>
      <c r="E38" t="s">
        <v>35</v>
      </c>
      <c r="F38">
        <v>20</v>
      </c>
      <c r="G38">
        <v>0.82</v>
      </c>
      <c r="H38" t="s">
        <v>31</v>
      </c>
      <c r="I38">
        <v>28443</v>
      </c>
      <c r="J38" t="s">
        <v>28</v>
      </c>
      <c r="K38" t="s">
        <v>21</v>
      </c>
      <c r="L38">
        <v>4.37</v>
      </c>
      <c r="M38">
        <v>4.16</v>
      </c>
      <c r="N38">
        <v>4.1500000000000004</v>
      </c>
      <c r="O38" t="s">
        <v>34</v>
      </c>
      <c r="P38" t="s">
        <v>32</v>
      </c>
      <c r="Q38" t="s">
        <v>29</v>
      </c>
    </row>
    <row r="39" spans="1:17" x14ac:dyDescent="0.35">
      <c r="A39">
        <v>38</v>
      </c>
      <c r="B39" t="s">
        <v>17</v>
      </c>
      <c r="C39">
        <v>17</v>
      </c>
      <c r="D39" t="s">
        <v>18</v>
      </c>
      <c r="E39" t="s">
        <v>19</v>
      </c>
      <c r="F39">
        <v>11</v>
      </c>
      <c r="G39">
        <v>0.93</v>
      </c>
      <c r="H39" t="s">
        <v>20</v>
      </c>
      <c r="I39">
        <v>26524</v>
      </c>
      <c r="J39" t="s">
        <v>21</v>
      </c>
      <c r="K39" t="s">
        <v>21</v>
      </c>
      <c r="L39">
        <v>4.51</v>
      </c>
      <c r="M39">
        <v>4.7300000000000004</v>
      </c>
      <c r="N39">
        <v>3.08</v>
      </c>
      <c r="O39" t="s">
        <v>36</v>
      </c>
      <c r="P39" t="s">
        <v>23</v>
      </c>
      <c r="Q39" t="s">
        <v>29</v>
      </c>
    </row>
    <row r="40" spans="1:17" x14ac:dyDescent="0.35">
      <c r="A40">
        <v>39</v>
      </c>
      <c r="B40" t="s">
        <v>17</v>
      </c>
      <c r="C40">
        <v>15</v>
      </c>
      <c r="D40" t="s">
        <v>30</v>
      </c>
      <c r="E40" t="s">
        <v>35</v>
      </c>
      <c r="F40">
        <v>25</v>
      </c>
      <c r="G40">
        <v>0.68</v>
      </c>
      <c r="H40" t="s">
        <v>20</v>
      </c>
      <c r="I40">
        <v>38202</v>
      </c>
      <c r="J40" t="s">
        <v>28</v>
      </c>
      <c r="K40" t="s">
        <v>21</v>
      </c>
      <c r="L40">
        <v>4.45</v>
      </c>
      <c r="M40">
        <v>4.32</v>
      </c>
      <c r="N40">
        <v>4.05</v>
      </c>
      <c r="O40" t="s">
        <v>34</v>
      </c>
      <c r="P40" t="s">
        <v>32</v>
      </c>
      <c r="Q40" t="s">
        <v>29</v>
      </c>
    </row>
    <row r="41" spans="1:17" x14ac:dyDescent="0.35">
      <c r="A41">
        <v>40</v>
      </c>
      <c r="B41" t="s">
        <v>17</v>
      </c>
      <c r="C41">
        <v>17</v>
      </c>
      <c r="D41" t="s">
        <v>18</v>
      </c>
      <c r="E41" t="s">
        <v>35</v>
      </c>
      <c r="F41">
        <v>14</v>
      </c>
      <c r="G41">
        <v>0.83</v>
      </c>
      <c r="H41" t="s">
        <v>40</v>
      </c>
      <c r="I41">
        <v>10016</v>
      </c>
      <c r="J41" t="s">
        <v>28</v>
      </c>
      <c r="K41" t="s">
        <v>28</v>
      </c>
      <c r="L41">
        <v>4.74</v>
      </c>
      <c r="M41">
        <v>4.8899999999999997</v>
      </c>
      <c r="N41">
        <v>4.7699999999999996</v>
      </c>
      <c r="O41" t="s">
        <v>22</v>
      </c>
      <c r="P41" t="s">
        <v>23</v>
      </c>
      <c r="Q41" t="s">
        <v>24</v>
      </c>
    </row>
    <row r="42" spans="1:17" x14ac:dyDescent="0.35">
      <c r="A42">
        <v>41</v>
      </c>
      <c r="B42" t="s">
        <v>17</v>
      </c>
      <c r="C42">
        <v>15</v>
      </c>
      <c r="D42" t="s">
        <v>39</v>
      </c>
      <c r="E42" t="s">
        <v>35</v>
      </c>
      <c r="F42">
        <v>16</v>
      </c>
      <c r="G42">
        <v>0.67</v>
      </c>
      <c r="H42" t="s">
        <v>20</v>
      </c>
      <c r="I42">
        <v>56142</v>
      </c>
      <c r="J42" t="s">
        <v>21</v>
      </c>
      <c r="K42" t="s">
        <v>21</v>
      </c>
      <c r="L42">
        <v>3.38</v>
      </c>
      <c r="M42">
        <v>4.92</v>
      </c>
      <c r="N42">
        <v>4.68</v>
      </c>
      <c r="O42" t="s">
        <v>22</v>
      </c>
      <c r="P42" t="s">
        <v>32</v>
      </c>
      <c r="Q42" t="s">
        <v>24</v>
      </c>
    </row>
    <row r="43" spans="1:17" x14ac:dyDescent="0.35">
      <c r="A43">
        <v>42</v>
      </c>
      <c r="B43" t="s">
        <v>17</v>
      </c>
      <c r="C43">
        <v>16</v>
      </c>
      <c r="D43" t="s">
        <v>18</v>
      </c>
      <c r="E43" t="s">
        <v>19</v>
      </c>
      <c r="F43">
        <v>28</v>
      </c>
      <c r="G43">
        <v>0.66</v>
      </c>
      <c r="H43" t="s">
        <v>40</v>
      </c>
      <c r="I43">
        <v>26848</v>
      </c>
      <c r="J43" t="s">
        <v>28</v>
      </c>
      <c r="K43" t="s">
        <v>28</v>
      </c>
      <c r="L43">
        <v>3.8</v>
      </c>
      <c r="M43">
        <v>3.6</v>
      </c>
      <c r="N43">
        <v>4.7699999999999996</v>
      </c>
      <c r="O43" t="s">
        <v>22</v>
      </c>
      <c r="P43" t="s">
        <v>32</v>
      </c>
      <c r="Q43" t="s">
        <v>24</v>
      </c>
    </row>
    <row r="44" spans="1:17" x14ac:dyDescent="0.35">
      <c r="A44">
        <v>43</v>
      </c>
      <c r="B44" t="s">
        <v>25</v>
      </c>
      <c r="C44">
        <v>17</v>
      </c>
      <c r="D44" t="s">
        <v>41</v>
      </c>
      <c r="E44" t="s">
        <v>35</v>
      </c>
      <c r="F44">
        <v>18</v>
      </c>
      <c r="G44">
        <v>0.95</v>
      </c>
      <c r="H44" t="s">
        <v>40</v>
      </c>
      <c r="I44">
        <v>30855</v>
      </c>
      <c r="J44" t="s">
        <v>28</v>
      </c>
      <c r="K44" t="s">
        <v>28</v>
      </c>
      <c r="L44">
        <v>4.9000000000000004</v>
      </c>
      <c r="M44">
        <v>4.18</v>
      </c>
      <c r="N44">
        <v>4.84</v>
      </c>
      <c r="O44" t="s">
        <v>22</v>
      </c>
      <c r="P44" t="s">
        <v>32</v>
      </c>
      <c r="Q44" t="s">
        <v>29</v>
      </c>
    </row>
    <row r="45" spans="1:17" x14ac:dyDescent="0.35">
      <c r="A45">
        <v>44</v>
      </c>
      <c r="B45" t="s">
        <v>25</v>
      </c>
      <c r="C45">
        <v>15</v>
      </c>
      <c r="D45" t="s">
        <v>37</v>
      </c>
      <c r="E45" t="s">
        <v>35</v>
      </c>
      <c r="F45">
        <v>29</v>
      </c>
      <c r="G45">
        <v>0.77</v>
      </c>
      <c r="H45" t="s">
        <v>31</v>
      </c>
      <c r="I45">
        <v>28211</v>
      </c>
      <c r="J45" t="s">
        <v>28</v>
      </c>
      <c r="K45" t="s">
        <v>21</v>
      </c>
      <c r="L45">
        <v>3.79</v>
      </c>
      <c r="M45">
        <v>4.41</v>
      </c>
      <c r="N45">
        <v>3.21</v>
      </c>
      <c r="O45" t="s">
        <v>36</v>
      </c>
      <c r="P45" t="s">
        <v>32</v>
      </c>
      <c r="Q45" t="s">
        <v>29</v>
      </c>
    </row>
    <row r="46" spans="1:17" x14ac:dyDescent="0.35">
      <c r="A46">
        <v>45</v>
      </c>
      <c r="B46" t="s">
        <v>25</v>
      </c>
      <c r="C46">
        <v>16</v>
      </c>
      <c r="D46" t="s">
        <v>33</v>
      </c>
      <c r="E46" t="s">
        <v>19</v>
      </c>
      <c r="F46">
        <v>9</v>
      </c>
      <c r="G46">
        <v>0.62</v>
      </c>
      <c r="H46" t="s">
        <v>20</v>
      </c>
      <c r="I46">
        <v>35095</v>
      </c>
      <c r="J46" t="s">
        <v>28</v>
      </c>
      <c r="K46" t="s">
        <v>28</v>
      </c>
      <c r="L46">
        <v>3.25</v>
      </c>
      <c r="M46">
        <v>3.88</v>
      </c>
      <c r="N46">
        <v>3.26</v>
      </c>
      <c r="O46" t="s">
        <v>36</v>
      </c>
      <c r="P46" t="s">
        <v>23</v>
      </c>
      <c r="Q46" t="s">
        <v>24</v>
      </c>
    </row>
    <row r="47" spans="1:17" x14ac:dyDescent="0.35">
      <c r="A47">
        <v>46</v>
      </c>
      <c r="B47" t="s">
        <v>25</v>
      </c>
      <c r="C47">
        <v>17</v>
      </c>
      <c r="D47" t="s">
        <v>33</v>
      </c>
      <c r="E47" t="s">
        <v>35</v>
      </c>
      <c r="F47">
        <v>25</v>
      </c>
      <c r="G47">
        <v>0.87</v>
      </c>
      <c r="H47" t="s">
        <v>20</v>
      </c>
      <c r="I47">
        <v>48724</v>
      </c>
      <c r="J47" t="s">
        <v>28</v>
      </c>
      <c r="K47" t="s">
        <v>21</v>
      </c>
      <c r="L47">
        <v>4.05</v>
      </c>
      <c r="M47">
        <v>4.1100000000000003</v>
      </c>
      <c r="N47">
        <v>4.1100000000000003</v>
      </c>
      <c r="O47" t="s">
        <v>34</v>
      </c>
      <c r="P47" t="s">
        <v>32</v>
      </c>
      <c r="Q47" t="s">
        <v>24</v>
      </c>
    </row>
    <row r="48" spans="1:17" x14ac:dyDescent="0.35">
      <c r="A48">
        <v>47</v>
      </c>
      <c r="B48" t="s">
        <v>25</v>
      </c>
      <c r="C48">
        <v>17</v>
      </c>
      <c r="D48" t="s">
        <v>42</v>
      </c>
      <c r="E48" t="s">
        <v>19</v>
      </c>
      <c r="F48">
        <v>22</v>
      </c>
      <c r="G48">
        <v>0.65</v>
      </c>
      <c r="H48" t="s">
        <v>40</v>
      </c>
      <c r="I48">
        <v>59241</v>
      </c>
      <c r="J48" t="s">
        <v>21</v>
      </c>
      <c r="K48" t="s">
        <v>28</v>
      </c>
      <c r="L48">
        <v>3.22</v>
      </c>
      <c r="M48">
        <v>4.5199999999999996</v>
      </c>
      <c r="N48">
        <v>4.79</v>
      </c>
      <c r="O48" t="s">
        <v>22</v>
      </c>
      <c r="P48" t="s">
        <v>32</v>
      </c>
      <c r="Q48" t="s">
        <v>24</v>
      </c>
    </row>
    <row r="49" spans="1:17" x14ac:dyDescent="0.35">
      <c r="A49">
        <v>48</v>
      </c>
      <c r="B49" t="s">
        <v>17</v>
      </c>
      <c r="C49">
        <v>15</v>
      </c>
      <c r="D49" t="s">
        <v>37</v>
      </c>
      <c r="E49" t="s">
        <v>19</v>
      </c>
      <c r="F49">
        <v>9</v>
      </c>
      <c r="G49">
        <v>0.8</v>
      </c>
      <c r="H49" t="s">
        <v>40</v>
      </c>
      <c r="I49">
        <v>47583</v>
      </c>
      <c r="J49" t="s">
        <v>28</v>
      </c>
      <c r="K49" t="s">
        <v>21</v>
      </c>
      <c r="L49">
        <v>3.41</v>
      </c>
      <c r="M49">
        <v>3.84</v>
      </c>
      <c r="N49">
        <v>4.95</v>
      </c>
      <c r="O49" t="s">
        <v>22</v>
      </c>
      <c r="P49" t="s">
        <v>23</v>
      </c>
      <c r="Q49" t="s">
        <v>24</v>
      </c>
    </row>
    <row r="50" spans="1:17" x14ac:dyDescent="0.35">
      <c r="A50">
        <v>49</v>
      </c>
      <c r="B50" t="s">
        <v>25</v>
      </c>
      <c r="C50">
        <v>15</v>
      </c>
      <c r="D50" t="s">
        <v>18</v>
      </c>
      <c r="E50" t="s">
        <v>35</v>
      </c>
      <c r="F50">
        <v>7</v>
      </c>
      <c r="G50">
        <v>0.87</v>
      </c>
      <c r="H50" t="s">
        <v>27</v>
      </c>
      <c r="I50">
        <v>12843</v>
      </c>
      <c r="J50" t="s">
        <v>21</v>
      </c>
      <c r="K50" t="s">
        <v>28</v>
      </c>
      <c r="L50">
        <v>5</v>
      </c>
      <c r="M50">
        <v>4.4000000000000004</v>
      </c>
      <c r="N50">
        <v>3.09</v>
      </c>
      <c r="O50" t="s">
        <v>36</v>
      </c>
      <c r="P50" t="s">
        <v>23</v>
      </c>
      <c r="Q50" t="s">
        <v>29</v>
      </c>
    </row>
    <row r="51" spans="1:17" x14ac:dyDescent="0.35">
      <c r="A51">
        <v>50</v>
      </c>
      <c r="B51" t="s">
        <v>25</v>
      </c>
      <c r="C51">
        <v>15</v>
      </c>
      <c r="D51" t="s">
        <v>39</v>
      </c>
      <c r="E51" t="s">
        <v>19</v>
      </c>
      <c r="F51">
        <v>27</v>
      </c>
      <c r="G51">
        <v>0.99</v>
      </c>
      <c r="H51" t="s">
        <v>27</v>
      </c>
      <c r="I51">
        <v>39301</v>
      </c>
      <c r="J51" t="s">
        <v>21</v>
      </c>
      <c r="K51" t="s">
        <v>21</v>
      </c>
      <c r="L51">
        <v>4.08</v>
      </c>
      <c r="M51">
        <v>4.55</v>
      </c>
      <c r="N51">
        <v>3.71</v>
      </c>
      <c r="O51" t="s">
        <v>34</v>
      </c>
      <c r="P51" t="s">
        <v>32</v>
      </c>
      <c r="Q51" t="s">
        <v>29</v>
      </c>
    </row>
    <row r="52" spans="1:17" x14ac:dyDescent="0.35">
      <c r="A52">
        <v>51</v>
      </c>
      <c r="B52" t="s">
        <v>17</v>
      </c>
      <c r="C52">
        <v>16</v>
      </c>
      <c r="D52" t="s">
        <v>42</v>
      </c>
      <c r="E52" t="s">
        <v>19</v>
      </c>
      <c r="F52">
        <v>9</v>
      </c>
      <c r="G52">
        <v>0.6</v>
      </c>
      <c r="H52" t="s">
        <v>40</v>
      </c>
      <c r="I52">
        <v>36460</v>
      </c>
      <c r="J52" t="s">
        <v>21</v>
      </c>
      <c r="K52" t="s">
        <v>21</v>
      </c>
      <c r="L52">
        <v>3.57</v>
      </c>
      <c r="M52">
        <v>3.64</v>
      </c>
      <c r="N52">
        <v>3.43</v>
      </c>
      <c r="O52" t="s">
        <v>36</v>
      </c>
      <c r="P52" t="s">
        <v>23</v>
      </c>
      <c r="Q52" t="s">
        <v>29</v>
      </c>
    </row>
    <row r="53" spans="1:17" x14ac:dyDescent="0.35">
      <c r="A53">
        <v>52</v>
      </c>
      <c r="B53" t="s">
        <v>25</v>
      </c>
      <c r="C53">
        <v>15</v>
      </c>
      <c r="D53" t="s">
        <v>18</v>
      </c>
      <c r="E53" t="s">
        <v>35</v>
      </c>
      <c r="F53">
        <v>28</v>
      </c>
      <c r="G53">
        <v>0.95</v>
      </c>
      <c r="H53" t="s">
        <v>27</v>
      </c>
      <c r="I53">
        <v>41918</v>
      </c>
      <c r="J53" t="s">
        <v>21</v>
      </c>
      <c r="K53" t="s">
        <v>28</v>
      </c>
      <c r="L53">
        <v>4.99</v>
      </c>
      <c r="M53">
        <v>4.25</v>
      </c>
      <c r="N53">
        <v>4.51</v>
      </c>
      <c r="O53" t="s">
        <v>22</v>
      </c>
      <c r="P53" t="s">
        <v>32</v>
      </c>
      <c r="Q53" t="s">
        <v>29</v>
      </c>
    </row>
    <row r="54" spans="1:17" x14ac:dyDescent="0.35">
      <c r="A54">
        <v>53</v>
      </c>
      <c r="B54" t="s">
        <v>17</v>
      </c>
      <c r="C54">
        <v>17</v>
      </c>
      <c r="D54" t="s">
        <v>30</v>
      </c>
      <c r="E54" t="s">
        <v>19</v>
      </c>
      <c r="F54">
        <v>21</v>
      </c>
      <c r="G54">
        <v>0.8</v>
      </c>
      <c r="H54" t="s">
        <v>27</v>
      </c>
      <c r="I54">
        <v>38747</v>
      </c>
      <c r="J54" t="s">
        <v>21</v>
      </c>
      <c r="K54" t="s">
        <v>28</v>
      </c>
      <c r="L54">
        <v>4.93</v>
      </c>
      <c r="M54">
        <v>3.89</v>
      </c>
      <c r="N54">
        <v>4.28</v>
      </c>
      <c r="O54" t="s">
        <v>34</v>
      </c>
      <c r="P54" t="s">
        <v>32</v>
      </c>
      <c r="Q54" t="s">
        <v>29</v>
      </c>
    </row>
    <row r="55" spans="1:17" x14ac:dyDescent="0.35">
      <c r="A55">
        <v>54</v>
      </c>
      <c r="B55" t="s">
        <v>25</v>
      </c>
      <c r="C55">
        <v>17</v>
      </c>
      <c r="D55" t="s">
        <v>26</v>
      </c>
      <c r="E55" t="s">
        <v>19</v>
      </c>
      <c r="F55">
        <v>23</v>
      </c>
      <c r="G55">
        <v>0.94</v>
      </c>
      <c r="H55" t="s">
        <v>40</v>
      </c>
      <c r="I55">
        <v>25972</v>
      </c>
      <c r="J55" t="s">
        <v>21</v>
      </c>
      <c r="K55" t="s">
        <v>21</v>
      </c>
      <c r="L55">
        <v>3.88</v>
      </c>
      <c r="M55">
        <v>4.59</v>
      </c>
      <c r="N55">
        <v>3.24</v>
      </c>
      <c r="O55" t="s">
        <v>36</v>
      </c>
      <c r="P55" t="s">
        <v>32</v>
      </c>
      <c r="Q55" t="s">
        <v>29</v>
      </c>
    </row>
    <row r="56" spans="1:17" x14ac:dyDescent="0.35">
      <c r="A56">
        <v>55</v>
      </c>
      <c r="B56" t="s">
        <v>17</v>
      </c>
      <c r="C56">
        <v>15</v>
      </c>
      <c r="D56" t="s">
        <v>18</v>
      </c>
      <c r="E56" t="s">
        <v>35</v>
      </c>
      <c r="F56">
        <v>23</v>
      </c>
      <c r="G56">
        <v>0.72</v>
      </c>
      <c r="H56" t="s">
        <v>40</v>
      </c>
      <c r="I56">
        <v>38310</v>
      </c>
      <c r="J56" t="s">
        <v>28</v>
      </c>
      <c r="K56" t="s">
        <v>28</v>
      </c>
      <c r="L56">
        <v>3.52</v>
      </c>
      <c r="M56">
        <v>3.78</v>
      </c>
      <c r="N56">
        <v>3.97</v>
      </c>
      <c r="O56" t="s">
        <v>34</v>
      </c>
      <c r="P56" t="s">
        <v>32</v>
      </c>
      <c r="Q56" t="s">
        <v>24</v>
      </c>
    </row>
    <row r="57" spans="1:17" x14ac:dyDescent="0.35">
      <c r="A57">
        <v>56</v>
      </c>
      <c r="B57" t="s">
        <v>25</v>
      </c>
      <c r="C57">
        <v>15</v>
      </c>
      <c r="D57" t="s">
        <v>37</v>
      </c>
      <c r="E57" t="s">
        <v>35</v>
      </c>
      <c r="F57">
        <v>29</v>
      </c>
      <c r="G57">
        <v>0.69</v>
      </c>
      <c r="H57" t="s">
        <v>20</v>
      </c>
      <c r="I57">
        <v>32927</v>
      </c>
      <c r="J57" t="s">
        <v>28</v>
      </c>
      <c r="K57" t="s">
        <v>28</v>
      </c>
      <c r="L57">
        <v>4.68</v>
      </c>
      <c r="M57">
        <v>4.84</v>
      </c>
      <c r="N57">
        <v>4.37</v>
      </c>
      <c r="O57" t="s">
        <v>34</v>
      </c>
      <c r="P57" t="s">
        <v>32</v>
      </c>
      <c r="Q57" t="s">
        <v>29</v>
      </c>
    </row>
    <row r="58" spans="1:17" x14ac:dyDescent="0.35">
      <c r="A58">
        <v>57</v>
      </c>
      <c r="B58" t="s">
        <v>25</v>
      </c>
      <c r="C58">
        <v>18</v>
      </c>
      <c r="D58" t="s">
        <v>42</v>
      </c>
      <c r="E58" t="s">
        <v>35</v>
      </c>
      <c r="F58">
        <v>25</v>
      </c>
      <c r="G58">
        <v>0.69</v>
      </c>
      <c r="H58" t="s">
        <v>40</v>
      </c>
      <c r="I58">
        <v>11094</v>
      </c>
      <c r="J58" t="s">
        <v>28</v>
      </c>
      <c r="K58" t="s">
        <v>28</v>
      </c>
      <c r="L58">
        <v>4.43</v>
      </c>
      <c r="M58">
        <v>4.1500000000000004</v>
      </c>
      <c r="N58">
        <v>4.5599999999999996</v>
      </c>
      <c r="O58" t="s">
        <v>22</v>
      </c>
      <c r="P58" t="s">
        <v>32</v>
      </c>
      <c r="Q58" t="s">
        <v>24</v>
      </c>
    </row>
    <row r="59" spans="1:17" x14ac:dyDescent="0.35">
      <c r="A59">
        <v>58</v>
      </c>
      <c r="B59" t="s">
        <v>17</v>
      </c>
      <c r="C59">
        <v>17</v>
      </c>
      <c r="D59" t="s">
        <v>37</v>
      </c>
      <c r="E59" t="s">
        <v>19</v>
      </c>
      <c r="F59">
        <v>16</v>
      </c>
      <c r="G59">
        <v>0.72</v>
      </c>
      <c r="H59" t="s">
        <v>40</v>
      </c>
      <c r="I59">
        <v>48892</v>
      </c>
      <c r="J59" t="s">
        <v>21</v>
      </c>
      <c r="K59" t="s">
        <v>21</v>
      </c>
      <c r="L59">
        <v>4.37</v>
      </c>
      <c r="M59">
        <v>3.8</v>
      </c>
      <c r="N59">
        <v>3.04</v>
      </c>
      <c r="O59" t="s">
        <v>36</v>
      </c>
      <c r="P59" t="s">
        <v>32</v>
      </c>
      <c r="Q59" t="s">
        <v>29</v>
      </c>
    </row>
    <row r="60" spans="1:17" x14ac:dyDescent="0.35">
      <c r="A60">
        <v>59</v>
      </c>
      <c r="B60" t="s">
        <v>17</v>
      </c>
      <c r="C60">
        <v>16</v>
      </c>
      <c r="D60" t="s">
        <v>42</v>
      </c>
      <c r="E60" t="s">
        <v>35</v>
      </c>
      <c r="F60">
        <v>29</v>
      </c>
      <c r="G60">
        <v>0.96</v>
      </c>
      <c r="H60" t="s">
        <v>31</v>
      </c>
      <c r="I60">
        <v>44172</v>
      </c>
      <c r="J60" t="s">
        <v>28</v>
      </c>
      <c r="K60" t="s">
        <v>21</v>
      </c>
      <c r="L60">
        <v>4.79</v>
      </c>
      <c r="M60">
        <v>4.16</v>
      </c>
      <c r="N60">
        <v>4.78</v>
      </c>
      <c r="O60" t="s">
        <v>22</v>
      </c>
      <c r="P60" t="s">
        <v>32</v>
      </c>
      <c r="Q60" t="s">
        <v>29</v>
      </c>
    </row>
    <row r="61" spans="1:17" x14ac:dyDescent="0.35">
      <c r="A61">
        <v>60</v>
      </c>
      <c r="B61" t="s">
        <v>17</v>
      </c>
      <c r="C61">
        <v>18</v>
      </c>
      <c r="D61" t="s">
        <v>18</v>
      </c>
      <c r="E61" t="s">
        <v>19</v>
      </c>
      <c r="F61">
        <v>13</v>
      </c>
      <c r="G61">
        <v>0.97</v>
      </c>
      <c r="H61" t="s">
        <v>20</v>
      </c>
      <c r="I61">
        <v>33324</v>
      </c>
      <c r="J61" t="s">
        <v>28</v>
      </c>
      <c r="K61" t="s">
        <v>28</v>
      </c>
      <c r="L61">
        <v>4.38</v>
      </c>
      <c r="M61">
        <v>4.1100000000000003</v>
      </c>
      <c r="N61">
        <v>4.1399999999999997</v>
      </c>
      <c r="O61" t="s">
        <v>34</v>
      </c>
      <c r="P61" t="s">
        <v>23</v>
      </c>
      <c r="Q61" t="s">
        <v>29</v>
      </c>
    </row>
    <row r="62" spans="1:17" x14ac:dyDescent="0.35">
      <c r="A62">
        <v>61</v>
      </c>
      <c r="B62" t="s">
        <v>17</v>
      </c>
      <c r="C62">
        <v>15</v>
      </c>
      <c r="D62" t="s">
        <v>41</v>
      </c>
      <c r="E62" t="s">
        <v>19</v>
      </c>
      <c r="F62">
        <v>5</v>
      </c>
      <c r="G62">
        <v>0.83</v>
      </c>
      <c r="H62" t="s">
        <v>20</v>
      </c>
      <c r="I62">
        <v>30674</v>
      </c>
      <c r="J62" t="s">
        <v>28</v>
      </c>
      <c r="K62" t="s">
        <v>28</v>
      </c>
      <c r="L62">
        <v>3.57</v>
      </c>
      <c r="M62">
        <v>4.1399999999999997</v>
      </c>
      <c r="N62">
        <v>4.62</v>
      </c>
      <c r="O62" t="s">
        <v>22</v>
      </c>
      <c r="P62" t="s">
        <v>23</v>
      </c>
      <c r="Q62" t="s">
        <v>24</v>
      </c>
    </row>
    <row r="63" spans="1:17" x14ac:dyDescent="0.35">
      <c r="A63">
        <v>62</v>
      </c>
      <c r="B63" t="s">
        <v>17</v>
      </c>
      <c r="C63">
        <v>15</v>
      </c>
      <c r="D63" t="s">
        <v>30</v>
      </c>
      <c r="E63" t="s">
        <v>19</v>
      </c>
      <c r="F63">
        <v>22</v>
      </c>
      <c r="G63">
        <v>0.61</v>
      </c>
      <c r="H63" t="s">
        <v>20</v>
      </c>
      <c r="I63">
        <v>13982</v>
      </c>
      <c r="J63" t="s">
        <v>21</v>
      </c>
      <c r="K63" t="s">
        <v>21</v>
      </c>
      <c r="L63">
        <v>4.3899999999999997</v>
      </c>
      <c r="M63">
        <v>4.38</v>
      </c>
      <c r="N63">
        <v>4.62</v>
      </c>
      <c r="O63" t="s">
        <v>22</v>
      </c>
      <c r="P63" t="s">
        <v>32</v>
      </c>
      <c r="Q63" t="s">
        <v>24</v>
      </c>
    </row>
    <row r="64" spans="1:17" x14ac:dyDescent="0.35">
      <c r="A64">
        <v>63</v>
      </c>
      <c r="B64" t="s">
        <v>17</v>
      </c>
      <c r="C64">
        <v>17</v>
      </c>
      <c r="D64" t="s">
        <v>18</v>
      </c>
      <c r="E64" t="s">
        <v>19</v>
      </c>
      <c r="F64">
        <v>25</v>
      </c>
      <c r="G64">
        <v>0.81</v>
      </c>
      <c r="H64" t="s">
        <v>31</v>
      </c>
      <c r="I64">
        <v>55283</v>
      </c>
      <c r="J64" t="s">
        <v>28</v>
      </c>
      <c r="K64" t="s">
        <v>28</v>
      </c>
      <c r="L64">
        <v>3.61</v>
      </c>
      <c r="M64">
        <v>4.28</v>
      </c>
      <c r="N64">
        <v>3.38</v>
      </c>
      <c r="O64" t="s">
        <v>36</v>
      </c>
      <c r="P64" t="s">
        <v>32</v>
      </c>
      <c r="Q64" t="s">
        <v>29</v>
      </c>
    </row>
    <row r="65" spans="1:17" x14ac:dyDescent="0.35">
      <c r="A65">
        <v>64</v>
      </c>
      <c r="B65" t="s">
        <v>17</v>
      </c>
      <c r="C65">
        <v>15</v>
      </c>
      <c r="D65" t="s">
        <v>33</v>
      </c>
      <c r="E65" t="s">
        <v>19</v>
      </c>
      <c r="F65">
        <v>8</v>
      </c>
      <c r="G65">
        <v>0.76</v>
      </c>
      <c r="H65" t="s">
        <v>40</v>
      </c>
      <c r="I65">
        <v>25790</v>
      </c>
      <c r="J65" t="s">
        <v>21</v>
      </c>
      <c r="K65" t="s">
        <v>21</v>
      </c>
      <c r="L65">
        <v>4.5199999999999996</v>
      </c>
      <c r="M65">
        <v>3.72</v>
      </c>
      <c r="N65">
        <v>3.22</v>
      </c>
      <c r="O65" t="s">
        <v>36</v>
      </c>
      <c r="P65" t="s">
        <v>23</v>
      </c>
      <c r="Q65" t="s">
        <v>29</v>
      </c>
    </row>
    <row r="66" spans="1:17" x14ac:dyDescent="0.35">
      <c r="A66">
        <v>65</v>
      </c>
      <c r="B66" t="s">
        <v>17</v>
      </c>
      <c r="C66">
        <v>16</v>
      </c>
      <c r="D66" t="s">
        <v>37</v>
      </c>
      <c r="E66" t="s">
        <v>19</v>
      </c>
      <c r="F66">
        <v>14</v>
      </c>
      <c r="G66">
        <v>0.95</v>
      </c>
      <c r="H66" t="s">
        <v>20</v>
      </c>
      <c r="I66">
        <v>22205</v>
      </c>
      <c r="J66" t="s">
        <v>28</v>
      </c>
      <c r="K66" t="s">
        <v>28</v>
      </c>
      <c r="L66">
        <v>4.24</v>
      </c>
      <c r="M66">
        <v>3.6</v>
      </c>
      <c r="N66">
        <v>4.4400000000000004</v>
      </c>
      <c r="O66" t="s">
        <v>34</v>
      </c>
      <c r="P66" t="s">
        <v>23</v>
      </c>
      <c r="Q66" t="s">
        <v>24</v>
      </c>
    </row>
    <row r="67" spans="1:17" x14ac:dyDescent="0.35">
      <c r="A67">
        <v>66</v>
      </c>
      <c r="B67" t="s">
        <v>25</v>
      </c>
      <c r="C67">
        <v>17</v>
      </c>
      <c r="D67" t="s">
        <v>26</v>
      </c>
      <c r="E67" t="s">
        <v>19</v>
      </c>
      <c r="F67">
        <v>29</v>
      </c>
      <c r="G67">
        <v>0.73</v>
      </c>
      <c r="H67" t="s">
        <v>20</v>
      </c>
      <c r="I67">
        <v>34338</v>
      </c>
      <c r="J67" t="s">
        <v>21</v>
      </c>
      <c r="K67" t="s">
        <v>28</v>
      </c>
      <c r="L67">
        <v>3.15</v>
      </c>
      <c r="M67">
        <v>4.59</v>
      </c>
      <c r="N67">
        <v>3.31</v>
      </c>
      <c r="O67" t="s">
        <v>36</v>
      </c>
      <c r="P67" t="s">
        <v>32</v>
      </c>
      <c r="Q67" t="s">
        <v>24</v>
      </c>
    </row>
    <row r="68" spans="1:17" x14ac:dyDescent="0.35">
      <c r="A68">
        <v>67</v>
      </c>
      <c r="B68" t="s">
        <v>25</v>
      </c>
      <c r="C68">
        <v>15</v>
      </c>
      <c r="D68" t="s">
        <v>26</v>
      </c>
      <c r="E68" t="s">
        <v>35</v>
      </c>
      <c r="F68">
        <v>11</v>
      </c>
      <c r="G68">
        <v>0.69</v>
      </c>
      <c r="H68" t="s">
        <v>27</v>
      </c>
      <c r="I68">
        <v>22748</v>
      </c>
      <c r="J68" t="s">
        <v>21</v>
      </c>
      <c r="K68" t="s">
        <v>28</v>
      </c>
      <c r="L68">
        <v>4.03</v>
      </c>
      <c r="M68">
        <v>4.34</v>
      </c>
      <c r="N68">
        <v>4.7</v>
      </c>
      <c r="O68" t="s">
        <v>22</v>
      </c>
      <c r="P68" t="s">
        <v>23</v>
      </c>
      <c r="Q68" t="s">
        <v>24</v>
      </c>
    </row>
    <row r="69" spans="1:17" x14ac:dyDescent="0.35">
      <c r="A69">
        <v>68</v>
      </c>
      <c r="B69" t="s">
        <v>17</v>
      </c>
      <c r="C69">
        <v>17</v>
      </c>
      <c r="D69" t="s">
        <v>39</v>
      </c>
      <c r="E69" t="s">
        <v>35</v>
      </c>
      <c r="F69">
        <v>26</v>
      </c>
      <c r="G69">
        <v>0.94</v>
      </c>
      <c r="H69" t="s">
        <v>20</v>
      </c>
      <c r="I69">
        <v>31097</v>
      </c>
      <c r="J69" t="s">
        <v>21</v>
      </c>
      <c r="K69" t="s">
        <v>21</v>
      </c>
      <c r="L69">
        <v>3.69</v>
      </c>
      <c r="M69">
        <v>4.04</v>
      </c>
      <c r="N69">
        <v>4.45</v>
      </c>
      <c r="O69" t="s">
        <v>34</v>
      </c>
      <c r="P69" t="s">
        <v>32</v>
      </c>
      <c r="Q69" t="s">
        <v>24</v>
      </c>
    </row>
    <row r="70" spans="1:17" x14ac:dyDescent="0.35">
      <c r="A70">
        <v>69</v>
      </c>
      <c r="B70" t="s">
        <v>25</v>
      </c>
      <c r="C70">
        <v>15</v>
      </c>
      <c r="D70" t="s">
        <v>42</v>
      </c>
      <c r="E70" t="s">
        <v>19</v>
      </c>
      <c r="F70">
        <v>27</v>
      </c>
      <c r="G70">
        <v>0.84</v>
      </c>
      <c r="H70" t="s">
        <v>40</v>
      </c>
      <c r="I70">
        <v>13092</v>
      </c>
      <c r="J70" t="s">
        <v>28</v>
      </c>
      <c r="K70" t="s">
        <v>21</v>
      </c>
      <c r="L70">
        <v>3.66</v>
      </c>
      <c r="M70">
        <v>4.71</v>
      </c>
      <c r="N70">
        <v>4.68</v>
      </c>
      <c r="O70" t="s">
        <v>22</v>
      </c>
      <c r="P70" t="s">
        <v>32</v>
      </c>
      <c r="Q70" t="s">
        <v>24</v>
      </c>
    </row>
    <row r="71" spans="1:17" x14ac:dyDescent="0.35">
      <c r="A71">
        <v>70</v>
      </c>
      <c r="B71" t="s">
        <v>25</v>
      </c>
      <c r="C71">
        <v>15</v>
      </c>
      <c r="D71" t="s">
        <v>37</v>
      </c>
      <c r="E71" t="s">
        <v>19</v>
      </c>
      <c r="F71">
        <v>5</v>
      </c>
      <c r="G71">
        <v>0.62</v>
      </c>
      <c r="H71" t="s">
        <v>40</v>
      </c>
      <c r="I71">
        <v>32692</v>
      </c>
      <c r="J71" t="s">
        <v>28</v>
      </c>
      <c r="K71" t="s">
        <v>21</v>
      </c>
      <c r="L71">
        <v>4.2</v>
      </c>
      <c r="M71">
        <v>4.08</v>
      </c>
      <c r="N71">
        <v>3.6</v>
      </c>
      <c r="O71" t="s">
        <v>34</v>
      </c>
      <c r="P71" t="s">
        <v>23</v>
      </c>
      <c r="Q71" t="s">
        <v>29</v>
      </c>
    </row>
    <row r="72" spans="1:17" x14ac:dyDescent="0.35">
      <c r="A72">
        <v>71</v>
      </c>
      <c r="B72" t="s">
        <v>25</v>
      </c>
      <c r="C72">
        <v>15</v>
      </c>
      <c r="D72" t="s">
        <v>39</v>
      </c>
      <c r="E72" t="s">
        <v>35</v>
      </c>
      <c r="F72">
        <v>21</v>
      </c>
      <c r="G72">
        <v>0.97</v>
      </c>
      <c r="H72" t="s">
        <v>27</v>
      </c>
      <c r="I72">
        <v>33862</v>
      </c>
      <c r="J72" t="s">
        <v>21</v>
      </c>
      <c r="K72" t="s">
        <v>21</v>
      </c>
      <c r="L72">
        <v>3.64</v>
      </c>
      <c r="M72">
        <v>4.6900000000000004</v>
      </c>
      <c r="N72">
        <v>3.63</v>
      </c>
      <c r="O72" t="s">
        <v>34</v>
      </c>
      <c r="P72" t="s">
        <v>32</v>
      </c>
      <c r="Q72" t="s">
        <v>29</v>
      </c>
    </row>
    <row r="73" spans="1:17" x14ac:dyDescent="0.35">
      <c r="A73">
        <v>72</v>
      </c>
      <c r="B73" t="s">
        <v>25</v>
      </c>
      <c r="C73">
        <v>16</v>
      </c>
      <c r="D73" t="s">
        <v>37</v>
      </c>
      <c r="E73" t="s">
        <v>19</v>
      </c>
      <c r="F73">
        <v>28</v>
      </c>
      <c r="G73">
        <v>0.76</v>
      </c>
      <c r="H73" t="s">
        <v>20</v>
      </c>
      <c r="I73">
        <v>34860</v>
      </c>
      <c r="J73" t="s">
        <v>28</v>
      </c>
      <c r="K73" t="s">
        <v>28</v>
      </c>
      <c r="L73">
        <v>4.55</v>
      </c>
      <c r="M73">
        <v>3.96</v>
      </c>
      <c r="N73">
        <v>4.34</v>
      </c>
      <c r="O73" t="s">
        <v>34</v>
      </c>
      <c r="P73" t="s">
        <v>32</v>
      </c>
      <c r="Q73" t="s">
        <v>29</v>
      </c>
    </row>
    <row r="74" spans="1:17" x14ac:dyDescent="0.35">
      <c r="A74">
        <v>73</v>
      </c>
      <c r="B74" t="s">
        <v>17</v>
      </c>
      <c r="C74">
        <v>16</v>
      </c>
      <c r="D74" t="s">
        <v>33</v>
      </c>
      <c r="E74" t="s">
        <v>35</v>
      </c>
      <c r="F74">
        <v>6</v>
      </c>
      <c r="G74">
        <v>0.71</v>
      </c>
      <c r="H74" t="s">
        <v>20</v>
      </c>
      <c r="I74">
        <v>23971</v>
      </c>
      <c r="J74" t="s">
        <v>21</v>
      </c>
      <c r="K74" t="s">
        <v>28</v>
      </c>
      <c r="L74">
        <v>3.14</v>
      </c>
      <c r="M74">
        <v>3.61</v>
      </c>
      <c r="N74">
        <v>3.06</v>
      </c>
      <c r="O74" t="s">
        <v>36</v>
      </c>
      <c r="P74" t="s">
        <v>23</v>
      </c>
      <c r="Q74" t="s">
        <v>29</v>
      </c>
    </row>
    <row r="75" spans="1:17" x14ac:dyDescent="0.35">
      <c r="A75">
        <v>74</v>
      </c>
      <c r="B75" t="s">
        <v>25</v>
      </c>
      <c r="C75">
        <v>17</v>
      </c>
      <c r="D75" t="s">
        <v>42</v>
      </c>
      <c r="E75" t="s">
        <v>35</v>
      </c>
      <c r="F75">
        <v>15</v>
      </c>
      <c r="G75">
        <v>0.83</v>
      </c>
      <c r="H75" t="s">
        <v>20</v>
      </c>
      <c r="I75">
        <v>24616</v>
      </c>
      <c r="J75" t="s">
        <v>21</v>
      </c>
      <c r="K75" t="s">
        <v>21</v>
      </c>
      <c r="L75">
        <v>4.32</v>
      </c>
      <c r="M75">
        <v>4.9000000000000004</v>
      </c>
      <c r="N75">
        <v>4.45</v>
      </c>
      <c r="O75" t="s">
        <v>34</v>
      </c>
      <c r="P75" t="s">
        <v>32</v>
      </c>
      <c r="Q75" t="s">
        <v>24</v>
      </c>
    </row>
    <row r="76" spans="1:17" x14ac:dyDescent="0.35">
      <c r="A76">
        <v>75</v>
      </c>
      <c r="B76" t="s">
        <v>17</v>
      </c>
      <c r="C76">
        <v>15</v>
      </c>
      <c r="D76" t="s">
        <v>18</v>
      </c>
      <c r="E76" t="s">
        <v>35</v>
      </c>
      <c r="F76">
        <v>13</v>
      </c>
      <c r="G76">
        <v>0.88</v>
      </c>
      <c r="H76" t="s">
        <v>31</v>
      </c>
      <c r="I76">
        <v>14933</v>
      </c>
      <c r="J76" t="s">
        <v>28</v>
      </c>
      <c r="K76" t="s">
        <v>28</v>
      </c>
      <c r="L76">
        <v>4.62</v>
      </c>
      <c r="M76">
        <v>4.09</v>
      </c>
      <c r="N76">
        <v>4.67</v>
      </c>
      <c r="O76" t="s">
        <v>22</v>
      </c>
      <c r="P76" t="s">
        <v>23</v>
      </c>
      <c r="Q76" t="s">
        <v>24</v>
      </c>
    </row>
    <row r="77" spans="1:17" x14ac:dyDescent="0.35">
      <c r="A77">
        <v>76</v>
      </c>
      <c r="B77" t="s">
        <v>25</v>
      </c>
      <c r="C77">
        <v>15</v>
      </c>
      <c r="D77" t="s">
        <v>18</v>
      </c>
      <c r="E77" t="s">
        <v>19</v>
      </c>
      <c r="F77">
        <v>11</v>
      </c>
      <c r="G77">
        <v>0.84</v>
      </c>
      <c r="H77" t="s">
        <v>20</v>
      </c>
      <c r="I77">
        <v>14926</v>
      </c>
      <c r="J77" t="s">
        <v>28</v>
      </c>
      <c r="K77" t="s">
        <v>28</v>
      </c>
      <c r="L77">
        <v>4.3499999999999996</v>
      </c>
      <c r="M77">
        <v>4.6900000000000004</v>
      </c>
      <c r="N77">
        <v>3.83</v>
      </c>
      <c r="O77" t="s">
        <v>34</v>
      </c>
      <c r="P77" t="s">
        <v>23</v>
      </c>
      <c r="Q77" t="s">
        <v>29</v>
      </c>
    </row>
    <row r="78" spans="1:17" x14ac:dyDescent="0.35">
      <c r="A78">
        <v>77</v>
      </c>
      <c r="B78" t="s">
        <v>25</v>
      </c>
      <c r="C78">
        <v>16</v>
      </c>
      <c r="D78" t="s">
        <v>26</v>
      </c>
      <c r="E78" t="s">
        <v>19</v>
      </c>
      <c r="F78">
        <v>26</v>
      </c>
      <c r="G78">
        <v>0.95</v>
      </c>
      <c r="H78" t="s">
        <v>40</v>
      </c>
      <c r="I78">
        <v>35763</v>
      </c>
      <c r="J78" t="s">
        <v>28</v>
      </c>
      <c r="K78" t="s">
        <v>21</v>
      </c>
      <c r="L78">
        <v>3.99</v>
      </c>
      <c r="M78">
        <v>3.92</v>
      </c>
      <c r="N78">
        <v>4.53</v>
      </c>
      <c r="O78" t="s">
        <v>22</v>
      </c>
      <c r="P78" t="s">
        <v>32</v>
      </c>
      <c r="Q78" t="s">
        <v>24</v>
      </c>
    </row>
    <row r="79" spans="1:17" x14ac:dyDescent="0.35">
      <c r="A79">
        <v>78</v>
      </c>
      <c r="B79" t="s">
        <v>25</v>
      </c>
      <c r="C79">
        <v>15</v>
      </c>
      <c r="D79" t="s">
        <v>18</v>
      </c>
      <c r="E79" t="s">
        <v>35</v>
      </c>
      <c r="F79">
        <v>21</v>
      </c>
      <c r="G79">
        <v>0.85</v>
      </c>
      <c r="H79" t="s">
        <v>40</v>
      </c>
      <c r="I79">
        <v>13969</v>
      </c>
      <c r="J79" t="s">
        <v>21</v>
      </c>
      <c r="K79" t="s">
        <v>28</v>
      </c>
      <c r="L79">
        <v>4.9000000000000004</v>
      </c>
      <c r="M79">
        <v>4.47</v>
      </c>
      <c r="N79">
        <v>3.35</v>
      </c>
      <c r="O79" t="s">
        <v>36</v>
      </c>
      <c r="P79" t="s">
        <v>32</v>
      </c>
      <c r="Q79" t="s">
        <v>29</v>
      </c>
    </row>
    <row r="80" spans="1:17" x14ac:dyDescent="0.35">
      <c r="A80">
        <v>79</v>
      </c>
      <c r="B80" t="s">
        <v>17</v>
      </c>
      <c r="C80">
        <v>16</v>
      </c>
      <c r="D80" t="s">
        <v>18</v>
      </c>
      <c r="E80" t="s">
        <v>35</v>
      </c>
      <c r="F80">
        <v>21</v>
      </c>
      <c r="G80">
        <v>0.97</v>
      </c>
      <c r="H80" t="s">
        <v>31</v>
      </c>
      <c r="I80">
        <v>45733</v>
      </c>
      <c r="J80" t="s">
        <v>21</v>
      </c>
      <c r="K80" t="s">
        <v>28</v>
      </c>
      <c r="L80">
        <v>3.6</v>
      </c>
      <c r="M80">
        <v>4.8099999999999996</v>
      </c>
      <c r="N80">
        <v>3.64</v>
      </c>
      <c r="O80" t="s">
        <v>34</v>
      </c>
      <c r="P80" t="s">
        <v>32</v>
      </c>
      <c r="Q80" t="s">
        <v>24</v>
      </c>
    </row>
    <row r="81" spans="1:17" x14ac:dyDescent="0.35">
      <c r="A81">
        <v>80</v>
      </c>
      <c r="B81" t="s">
        <v>25</v>
      </c>
      <c r="C81">
        <v>15</v>
      </c>
      <c r="D81" t="s">
        <v>33</v>
      </c>
      <c r="E81" t="s">
        <v>35</v>
      </c>
      <c r="F81">
        <v>6</v>
      </c>
      <c r="G81">
        <v>0.6</v>
      </c>
      <c r="H81" t="s">
        <v>31</v>
      </c>
      <c r="I81">
        <v>14319</v>
      </c>
      <c r="J81" t="s">
        <v>28</v>
      </c>
      <c r="K81" t="s">
        <v>21</v>
      </c>
      <c r="L81">
        <v>3.04</v>
      </c>
      <c r="M81">
        <v>3.56</v>
      </c>
      <c r="N81">
        <v>4.95</v>
      </c>
      <c r="O81" t="s">
        <v>22</v>
      </c>
      <c r="P81" t="s">
        <v>23</v>
      </c>
      <c r="Q81" t="s">
        <v>24</v>
      </c>
    </row>
    <row r="82" spans="1:17" x14ac:dyDescent="0.35">
      <c r="A82">
        <v>81</v>
      </c>
      <c r="B82" t="s">
        <v>17</v>
      </c>
      <c r="C82">
        <v>17</v>
      </c>
      <c r="D82" t="s">
        <v>41</v>
      </c>
      <c r="E82" t="s">
        <v>35</v>
      </c>
      <c r="F82">
        <v>10</v>
      </c>
      <c r="G82">
        <v>0.79</v>
      </c>
      <c r="H82" t="s">
        <v>20</v>
      </c>
      <c r="I82">
        <v>51743</v>
      </c>
      <c r="J82" t="s">
        <v>21</v>
      </c>
      <c r="K82" t="s">
        <v>28</v>
      </c>
      <c r="L82">
        <v>3.86</v>
      </c>
      <c r="M82">
        <v>4.75</v>
      </c>
      <c r="N82">
        <v>4.97</v>
      </c>
      <c r="O82" t="s">
        <v>22</v>
      </c>
      <c r="P82" t="s">
        <v>23</v>
      </c>
      <c r="Q82" t="s">
        <v>24</v>
      </c>
    </row>
    <row r="83" spans="1:17" x14ac:dyDescent="0.35">
      <c r="A83">
        <v>82</v>
      </c>
      <c r="B83" t="s">
        <v>25</v>
      </c>
      <c r="C83">
        <v>15</v>
      </c>
      <c r="D83" t="s">
        <v>26</v>
      </c>
      <c r="E83" t="s">
        <v>35</v>
      </c>
      <c r="F83">
        <v>18</v>
      </c>
      <c r="G83">
        <v>0.87</v>
      </c>
      <c r="H83" t="s">
        <v>27</v>
      </c>
      <c r="I83">
        <v>49876</v>
      </c>
      <c r="J83" t="s">
        <v>28</v>
      </c>
      <c r="K83" t="s">
        <v>28</v>
      </c>
      <c r="L83">
        <v>3.07</v>
      </c>
      <c r="M83">
        <v>4.3600000000000003</v>
      </c>
      <c r="N83">
        <v>4.03</v>
      </c>
      <c r="O83" t="s">
        <v>34</v>
      </c>
      <c r="P83" t="s">
        <v>32</v>
      </c>
      <c r="Q83" t="s">
        <v>24</v>
      </c>
    </row>
    <row r="84" spans="1:17" x14ac:dyDescent="0.35">
      <c r="A84">
        <v>83</v>
      </c>
      <c r="B84" t="s">
        <v>17</v>
      </c>
      <c r="C84">
        <v>15</v>
      </c>
      <c r="D84" t="s">
        <v>39</v>
      </c>
      <c r="E84" t="s">
        <v>19</v>
      </c>
      <c r="F84">
        <v>10</v>
      </c>
      <c r="G84">
        <v>0.75</v>
      </c>
      <c r="H84" t="s">
        <v>31</v>
      </c>
      <c r="I84">
        <v>51909</v>
      </c>
      <c r="J84" t="s">
        <v>21</v>
      </c>
      <c r="K84" t="s">
        <v>28</v>
      </c>
      <c r="L84">
        <v>4.91</v>
      </c>
      <c r="M84">
        <v>4.41</v>
      </c>
      <c r="N84">
        <v>4.87</v>
      </c>
      <c r="O84" t="s">
        <v>22</v>
      </c>
      <c r="P84" t="s">
        <v>23</v>
      </c>
      <c r="Q84" t="s">
        <v>29</v>
      </c>
    </row>
    <row r="85" spans="1:17" x14ac:dyDescent="0.35">
      <c r="A85">
        <v>84</v>
      </c>
      <c r="B85" t="s">
        <v>25</v>
      </c>
      <c r="C85">
        <v>18</v>
      </c>
      <c r="D85" t="s">
        <v>30</v>
      </c>
      <c r="E85" t="s">
        <v>35</v>
      </c>
      <c r="F85">
        <v>6</v>
      </c>
      <c r="G85">
        <v>0.76</v>
      </c>
      <c r="H85" t="s">
        <v>31</v>
      </c>
      <c r="I85">
        <v>30323</v>
      </c>
      <c r="J85" t="s">
        <v>28</v>
      </c>
      <c r="K85" t="s">
        <v>21</v>
      </c>
      <c r="L85">
        <v>3.42</v>
      </c>
      <c r="M85">
        <v>4.28</v>
      </c>
      <c r="N85">
        <v>4.05</v>
      </c>
      <c r="O85" t="s">
        <v>34</v>
      </c>
      <c r="P85" t="s">
        <v>23</v>
      </c>
      <c r="Q85" t="s">
        <v>24</v>
      </c>
    </row>
    <row r="86" spans="1:17" x14ac:dyDescent="0.35">
      <c r="A86">
        <v>85</v>
      </c>
      <c r="B86" t="s">
        <v>17</v>
      </c>
      <c r="C86">
        <v>16</v>
      </c>
      <c r="D86" t="s">
        <v>41</v>
      </c>
      <c r="E86" t="s">
        <v>19</v>
      </c>
      <c r="F86">
        <v>5</v>
      </c>
      <c r="G86">
        <v>0.99</v>
      </c>
      <c r="H86" t="s">
        <v>20</v>
      </c>
      <c r="I86">
        <v>26428</v>
      </c>
      <c r="J86" t="s">
        <v>28</v>
      </c>
      <c r="K86" t="s">
        <v>21</v>
      </c>
      <c r="L86">
        <v>4.58</v>
      </c>
      <c r="M86">
        <v>4.8099999999999996</v>
      </c>
      <c r="N86">
        <v>3.58</v>
      </c>
      <c r="O86" t="s">
        <v>34</v>
      </c>
      <c r="P86" t="s">
        <v>23</v>
      </c>
      <c r="Q86" t="s">
        <v>29</v>
      </c>
    </row>
    <row r="87" spans="1:17" x14ac:dyDescent="0.35">
      <c r="A87">
        <v>86</v>
      </c>
      <c r="B87" t="s">
        <v>17</v>
      </c>
      <c r="C87">
        <v>15</v>
      </c>
      <c r="D87" t="s">
        <v>39</v>
      </c>
      <c r="E87" t="s">
        <v>35</v>
      </c>
      <c r="F87">
        <v>14</v>
      </c>
      <c r="G87">
        <v>0.87</v>
      </c>
      <c r="H87" t="s">
        <v>20</v>
      </c>
      <c r="I87">
        <v>44578</v>
      </c>
      <c r="J87" t="s">
        <v>21</v>
      </c>
      <c r="K87" t="s">
        <v>28</v>
      </c>
      <c r="L87">
        <v>4.55</v>
      </c>
      <c r="M87">
        <v>3.57</v>
      </c>
      <c r="N87">
        <v>3.53</v>
      </c>
      <c r="O87" t="s">
        <v>34</v>
      </c>
      <c r="P87" t="s">
        <v>23</v>
      </c>
      <c r="Q87" t="s">
        <v>29</v>
      </c>
    </row>
    <row r="88" spans="1:17" x14ac:dyDescent="0.35">
      <c r="A88">
        <v>87</v>
      </c>
      <c r="B88" t="s">
        <v>25</v>
      </c>
      <c r="C88">
        <v>15</v>
      </c>
      <c r="D88" t="s">
        <v>42</v>
      </c>
      <c r="E88" t="s">
        <v>19</v>
      </c>
      <c r="F88">
        <v>25</v>
      </c>
      <c r="G88">
        <v>0.71</v>
      </c>
      <c r="H88" t="s">
        <v>31</v>
      </c>
      <c r="I88">
        <v>30950</v>
      </c>
      <c r="J88" t="s">
        <v>28</v>
      </c>
      <c r="K88" t="s">
        <v>28</v>
      </c>
      <c r="L88">
        <v>3.44</v>
      </c>
      <c r="M88">
        <v>3.89</v>
      </c>
      <c r="N88">
        <v>4.8600000000000003</v>
      </c>
      <c r="O88" t="s">
        <v>22</v>
      </c>
      <c r="P88" t="s">
        <v>32</v>
      </c>
      <c r="Q88" t="s">
        <v>24</v>
      </c>
    </row>
    <row r="89" spans="1:17" x14ac:dyDescent="0.35">
      <c r="A89">
        <v>88</v>
      </c>
      <c r="B89" t="s">
        <v>17</v>
      </c>
      <c r="C89">
        <v>18</v>
      </c>
      <c r="D89" t="s">
        <v>41</v>
      </c>
      <c r="E89" t="s">
        <v>19</v>
      </c>
      <c r="F89">
        <v>9</v>
      </c>
      <c r="G89">
        <v>0.86</v>
      </c>
      <c r="H89" t="s">
        <v>27</v>
      </c>
      <c r="I89">
        <v>53041</v>
      </c>
      <c r="J89" t="s">
        <v>28</v>
      </c>
      <c r="K89" t="s">
        <v>28</v>
      </c>
      <c r="L89">
        <v>4.24</v>
      </c>
      <c r="M89">
        <v>4.8099999999999996</v>
      </c>
      <c r="N89">
        <v>3.34</v>
      </c>
      <c r="O89" t="s">
        <v>36</v>
      </c>
      <c r="P89" t="s">
        <v>23</v>
      </c>
      <c r="Q89" t="s">
        <v>29</v>
      </c>
    </row>
    <row r="90" spans="1:17" x14ac:dyDescent="0.35">
      <c r="A90">
        <v>89</v>
      </c>
      <c r="B90" t="s">
        <v>25</v>
      </c>
      <c r="C90">
        <v>18</v>
      </c>
      <c r="D90" t="s">
        <v>33</v>
      </c>
      <c r="E90" t="s">
        <v>19</v>
      </c>
      <c r="F90">
        <v>6</v>
      </c>
      <c r="G90">
        <v>0.89</v>
      </c>
      <c r="H90" t="s">
        <v>31</v>
      </c>
      <c r="I90">
        <v>51789</v>
      </c>
      <c r="J90" t="s">
        <v>21</v>
      </c>
      <c r="K90" t="s">
        <v>21</v>
      </c>
      <c r="L90">
        <v>3.1</v>
      </c>
      <c r="M90">
        <v>4.63</v>
      </c>
      <c r="N90">
        <v>4.16</v>
      </c>
      <c r="O90" t="s">
        <v>34</v>
      </c>
      <c r="P90" t="s">
        <v>23</v>
      </c>
      <c r="Q90" t="s">
        <v>24</v>
      </c>
    </row>
    <row r="91" spans="1:17" x14ac:dyDescent="0.35">
      <c r="A91">
        <v>90</v>
      </c>
      <c r="B91" t="s">
        <v>25</v>
      </c>
      <c r="C91">
        <v>16</v>
      </c>
      <c r="D91" t="s">
        <v>39</v>
      </c>
      <c r="E91" t="s">
        <v>19</v>
      </c>
      <c r="F91">
        <v>26</v>
      </c>
      <c r="G91">
        <v>0.93</v>
      </c>
      <c r="H91" t="s">
        <v>20</v>
      </c>
      <c r="I91">
        <v>28293</v>
      </c>
      <c r="J91" t="s">
        <v>28</v>
      </c>
      <c r="K91" t="s">
        <v>21</v>
      </c>
      <c r="L91">
        <v>3.97</v>
      </c>
      <c r="M91">
        <v>3.53</v>
      </c>
      <c r="N91">
        <v>4.1100000000000003</v>
      </c>
      <c r="O91" t="s">
        <v>34</v>
      </c>
      <c r="P91" t="s">
        <v>32</v>
      </c>
      <c r="Q91" t="s">
        <v>24</v>
      </c>
    </row>
    <row r="92" spans="1:17" x14ac:dyDescent="0.35">
      <c r="A92">
        <v>91</v>
      </c>
      <c r="B92" t="s">
        <v>25</v>
      </c>
      <c r="C92">
        <v>18</v>
      </c>
      <c r="D92" t="s">
        <v>42</v>
      </c>
      <c r="E92" t="s">
        <v>19</v>
      </c>
      <c r="F92">
        <v>20</v>
      </c>
      <c r="G92">
        <v>0.96</v>
      </c>
      <c r="H92" t="s">
        <v>20</v>
      </c>
      <c r="I92">
        <v>16364</v>
      </c>
      <c r="J92" t="s">
        <v>21</v>
      </c>
      <c r="K92" t="s">
        <v>21</v>
      </c>
      <c r="L92">
        <v>3.03</v>
      </c>
      <c r="M92">
        <v>4.28</v>
      </c>
      <c r="N92">
        <v>4.4800000000000004</v>
      </c>
      <c r="O92" t="s">
        <v>34</v>
      </c>
      <c r="P92" t="s">
        <v>32</v>
      </c>
      <c r="Q92" t="s">
        <v>24</v>
      </c>
    </row>
    <row r="93" spans="1:17" x14ac:dyDescent="0.35">
      <c r="A93">
        <v>92</v>
      </c>
      <c r="B93" t="s">
        <v>25</v>
      </c>
      <c r="C93">
        <v>17</v>
      </c>
      <c r="D93" t="s">
        <v>26</v>
      </c>
      <c r="E93" t="s">
        <v>19</v>
      </c>
      <c r="F93">
        <v>29</v>
      </c>
      <c r="G93">
        <v>0.65</v>
      </c>
      <c r="H93" t="s">
        <v>31</v>
      </c>
      <c r="I93">
        <v>45349</v>
      </c>
      <c r="J93" t="s">
        <v>28</v>
      </c>
      <c r="K93" t="s">
        <v>28</v>
      </c>
      <c r="L93">
        <v>4.84</v>
      </c>
      <c r="M93">
        <v>4.29</v>
      </c>
      <c r="N93">
        <v>4</v>
      </c>
      <c r="O93" t="s">
        <v>34</v>
      </c>
      <c r="P93" t="s">
        <v>32</v>
      </c>
      <c r="Q93" t="s">
        <v>29</v>
      </c>
    </row>
    <row r="94" spans="1:17" x14ac:dyDescent="0.35">
      <c r="A94">
        <v>93</v>
      </c>
      <c r="B94" t="s">
        <v>25</v>
      </c>
      <c r="C94">
        <v>18</v>
      </c>
      <c r="D94" t="s">
        <v>30</v>
      </c>
      <c r="E94" t="s">
        <v>35</v>
      </c>
      <c r="F94">
        <v>6</v>
      </c>
      <c r="G94">
        <v>0.66</v>
      </c>
      <c r="H94" t="s">
        <v>27</v>
      </c>
      <c r="I94">
        <v>10691</v>
      </c>
      <c r="J94" t="s">
        <v>21</v>
      </c>
      <c r="K94" t="s">
        <v>28</v>
      </c>
      <c r="L94">
        <v>4.95</v>
      </c>
      <c r="M94">
        <v>4.0999999999999996</v>
      </c>
      <c r="N94">
        <v>3.54</v>
      </c>
      <c r="O94" t="s">
        <v>34</v>
      </c>
      <c r="P94" t="s">
        <v>23</v>
      </c>
      <c r="Q94" t="s">
        <v>29</v>
      </c>
    </row>
    <row r="95" spans="1:17" x14ac:dyDescent="0.35">
      <c r="A95">
        <v>94</v>
      </c>
      <c r="B95" t="s">
        <v>25</v>
      </c>
      <c r="C95">
        <v>17</v>
      </c>
      <c r="D95" t="s">
        <v>42</v>
      </c>
      <c r="E95" t="s">
        <v>19</v>
      </c>
      <c r="F95">
        <v>14</v>
      </c>
      <c r="G95">
        <v>0.91</v>
      </c>
      <c r="H95" t="s">
        <v>31</v>
      </c>
      <c r="I95">
        <v>40062</v>
      </c>
      <c r="J95" t="s">
        <v>28</v>
      </c>
      <c r="K95" t="s">
        <v>28</v>
      </c>
      <c r="L95">
        <v>3.44</v>
      </c>
      <c r="M95">
        <v>3.95</v>
      </c>
      <c r="N95">
        <v>3.34</v>
      </c>
      <c r="O95" t="s">
        <v>36</v>
      </c>
      <c r="P95" t="s">
        <v>23</v>
      </c>
      <c r="Q95" t="s">
        <v>29</v>
      </c>
    </row>
    <row r="96" spans="1:17" x14ac:dyDescent="0.35">
      <c r="A96">
        <v>95</v>
      </c>
      <c r="B96" t="s">
        <v>25</v>
      </c>
      <c r="C96">
        <v>16</v>
      </c>
      <c r="D96" t="s">
        <v>18</v>
      </c>
      <c r="E96" t="s">
        <v>35</v>
      </c>
      <c r="F96">
        <v>6</v>
      </c>
      <c r="G96">
        <v>0.91</v>
      </c>
      <c r="H96" t="s">
        <v>31</v>
      </c>
      <c r="I96">
        <v>10931</v>
      </c>
      <c r="J96" t="s">
        <v>28</v>
      </c>
      <c r="K96" t="s">
        <v>28</v>
      </c>
      <c r="L96">
        <v>3.42</v>
      </c>
      <c r="M96">
        <v>4.5199999999999996</v>
      </c>
      <c r="N96">
        <v>4.24</v>
      </c>
      <c r="O96" t="s">
        <v>34</v>
      </c>
      <c r="P96" t="s">
        <v>23</v>
      </c>
      <c r="Q96" t="s">
        <v>24</v>
      </c>
    </row>
    <row r="97" spans="1:17" x14ac:dyDescent="0.35">
      <c r="A97">
        <v>96</v>
      </c>
      <c r="B97" t="s">
        <v>25</v>
      </c>
      <c r="C97">
        <v>16</v>
      </c>
      <c r="D97" t="s">
        <v>37</v>
      </c>
      <c r="E97" t="s">
        <v>19</v>
      </c>
      <c r="F97">
        <v>20</v>
      </c>
      <c r="G97">
        <v>0.84</v>
      </c>
      <c r="H97" t="s">
        <v>20</v>
      </c>
      <c r="I97">
        <v>55896</v>
      </c>
      <c r="J97" t="s">
        <v>28</v>
      </c>
      <c r="K97" t="s">
        <v>28</v>
      </c>
      <c r="L97">
        <v>4.51</v>
      </c>
      <c r="M97">
        <v>3.81</v>
      </c>
      <c r="N97">
        <v>4.4400000000000004</v>
      </c>
      <c r="O97" t="s">
        <v>34</v>
      </c>
      <c r="P97" t="s">
        <v>32</v>
      </c>
      <c r="Q97" t="s">
        <v>29</v>
      </c>
    </row>
    <row r="98" spans="1:17" x14ac:dyDescent="0.35">
      <c r="A98">
        <v>97</v>
      </c>
      <c r="B98" t="s">
        <v>25</v>
      </c>
      <c r="C98">
        <v>16</v>
      </c>
      <c r="D98" t="s">
        <v>42</v>
      </c>
      <c r="E98" t="s">
        <v>19</v>
      </c>
      <c r="F98">
        <v>20</v>
      </c>
      <c r="G98">
        <v>0.92</v>
      </c>
      <c r="H98" t="s">
        <v>27</v>
      </c>
      <c r="I98">
        <v>41730</v>
      </c>
      <c r="J98" t="s">
        <v>28</v>
      </c>
      <c r="K98" t="s">
        <v>21</v>
      </c>
      <c r="L98">
        <v>3.51</v>
      </c>
      <c r="M98">
        <v>4.7</v>
      </c>
      <c r="N98">
        <v>4.1399999999999997</v>
      </c>
      <c r="O98" t="s">
        <v>34</v>
      </c>
      <c r="P98" t="s">
        <v>32</v>
      </c>
      <c r="Q98" t="s">
        <v>24</v>
      </c>
    </row>
    <row r="99" spans="1:17" x14ac:dyDescent="0.35">
      <c r="A99">
        <v>98</v>
      </c>
      <c r="B99" t="s">
        <v>25</v>
      </c>
      <c r="C99">
        <v>16</v>
      </c>
      <c r="D99" t="s">
        <v>42</v>
      </c>
      <c r="E99" t="s">
        <v>35</v>
      </c>
      <c r="F99">
        <v>23</v>
      </c>
      <c r="G99">
        <v>0.66</v>
      </c>
      <c r="H99" t="s">
        <v>40</v>
      </c>
      <c r="I99">
        <v>24226</v>
      </c>
      <c r="J99" t="s">
        <v>21</v>
      </c>
      <c r="K99" t="s">
        <v>28</v>
      </c>
      <c r="L99">
        <v>4.79</v>
      </c>
      <c r="M99">
        <v>4.7</v>
      </c>
      <c r="N99">
        <v>4.4800000000000004</v>
      </c>
      <c r="O99" t="s">
        <v>34</v>
      </c>
      <c r="P99" t="s">
        <v>32</v>
      </c>
      <c r="Q99" t="s">
        <v>29</v>
      </c>
    </row>
    <row r="100" spans="1:17" x14ac:dyDescent="0.35">
      <c r="A100">
        <v>99</v>
      </c>
      <c r="B100" t="s">
        <v>25</v>
      </c>
      <c r="C100">
        <v>16</v>
      </c>
      <c r="D100" t="s">
        <v>30</v>
      </c>
      <c r="E100" t="s">
        <v>19</v>
      </c>
      <c r="F100">
        <v>11</v>
      </c>
      <c r="G100">
        <v>0.71</v>
      </c>
      <c r="H100" t="s">
        <v>27</v>
      </c>
      <c r="I100">
        <v>23861</v>
      </c>
      <c r="J100" t="s">
        <v>21</v>
      </c>
      <c r="K100" t="s">
        <v>28</v>
      </c>
      <c r="L100">
        <v>4.1500000000000004</v>
      </c>
      <c r="M100">
        <v>4.12</v>
      </c>
      <c r="N100">
        <v>3.28</v>
      </c>
      <c r="O100" t="s">
        <v>36</v>
      </c>
      <c r="P100" t="s">
        <v>23</v>
      </c>
      <c r="Q100" t="s">
        <v>29</v>
      </c>
    </row>
    <row r="101" spans="1:17" x14ac:dyDescent="0.35">
      <c r="A101">
        <v>100</v>
      </c>
      <c r="B101" t="s">
        <v>17</v>
      </c>
      <c r="C101">
        <v>17</v>
      </c>
      <c r="D101" t="s">
        <v>37</v>
      </c>
      <c r="E101" t="s">
        <v>35</v>
      </c>
      <c r="F101">
        <v>26</v>
      </c>
      <c r="G101">
        <v>0.75</v>
      </c>
      <c r="H101" t="s">
        <v>31</v>
      </c>
      <c r="I101">
        <v>41301</v>
      </c>
      <c r="J101" t="s">
        <v>21</v>
      </c>
      <c r="K101" t="s">
        <v>28</v>
      </c>
      <c r="L101">
        <v>3.7</v>
      </c>
      <c r="M101">
        <v>3.93</v>
      </c>
      <c r="N101">
        <v>4.76</v>
      </c>
      <c r="O101" t="s">
        <v>22</v>
      </c>
      <c r="P101" t="s">
        <v>32</v>
      </c>
      <c r="Q101" t="s">
        <v>24</v>
      </c>
    </row>
    <row r="102" spans="1:17" x14ac:dyDescent="0.35">
      <c r="A102">
        <v>101</v>
      </c>
      <c r="B102" t="s">
        <v>17</v>
      </c>
      <c r="C102">
        <v>17</v>
      </c>
      <c r="D102" t="s">
        <v>18</v>
      </c>
      <c r="E102" t="s">
        <v>35</v>
      </c>
      <c r="F102">
        <v>16</v>
      </c>
      <c r="G102">
        <v>0.75</v>
      </c>
      <c r="H102" t="s">
        <v>31</v>
      </c>
      <c r="I102">
        <v>58243</v>
      </c>
      <c r="J102" t="s">
        <v>21</v>
      </c>
      <c r="K102" t="s">
        <v>21</v>
      </c>
      <c r="L102">
        <v>4.67</v>
      </c>
      <c r="M102">
        <v>3.93</v>
      </c>
      <c r="N102">
        <v>4.16</v>
      </c>
      <c r="O102" t="s">
        <v>34</v>
      </c>
      <c r="P102" t="s">
        <v>32</v>
      </c>
      <c r="Q102" t="s">
        <v>29</v>
      </c>
    </row>
    <row r="103" spans="1:17" x14ac:dyDescent="0.35">
      <c r="A103">
        <v>102</v>
      </c>
      <c r="B103" t="s">
        <v>25</v>
      </c>
      <c r="C103">
        <v>16</v>
      </c>
      <c r="D103" t="s">
        <v>39</v>
      </c>
      <c r="E103" t="s">
        <v>35</v>
      </c>
      <c r="F103">
        <v>28</v>
      </c>
      <c r="G103">
        <v>0.95</v>
      </c>
      <c r="H103" t="s">
        <v>31</v>
      </c>
      <c r="I103">
        <v>32766</v>
      </c>
      <c r="J103" t="s">
        <v>21</v>
      </c>
      <c r="K103" t="s">
        <v>28</v>
      </c>
      <c r="L103">
        <v>3.99</v>
      </c>
      <c r="M103">
        <v>4.22</v>
      </c>
      <c r="N103">
        <v>3.25</v>
      </c>
      <c r="O103" t="s">
        <v>36</v>
      </c>
      <c r="P103" t="s">
        <v>32</v>
      </c>
      <c r="Q103" t="s">
        <v>29</v>
      </c>
    </row>
    <row r="104" spans="1:17" x14ac:dyDescent="0.35">
      <c r="A104">
        <v>103</v>
      </c>
      <c r="B104" t="s">
        <v>25</v>
      </c>
      <c r="C104">
        <v>18</v>
      </c>
      <c r="D104" t="s">
        <v>39</v>
      </c>
      <c r="E104" t="s">
        <v>35</v>
      </c>
      <c r="F104">
        <v>19</v>
      </c>
      <c r="G104">
        <v>0.72</v>
      </c>
      <c r="H104" t="s">
        <v>27</v>
      </c>
      <c r="I104">
        <v>46174</v>
      </c>
      <c r="J104" t="s">
        <v>21</v>
      </c>
      <c r="K104" t="s">
        <v>21</v>
      </c>
      <c r="L104">
        <v>4.82</v>
      </c>
      <c r="M104">
        <v>4.58</v>
      </c>
      <c r="N104">
        <v>3.92</v>
      </c>
      <c r="O104" t="s">
        <v>34</v>
      </c>
      <c r="P104" t="s">
        <v>32</v>
      </c>
      <c r="Q104" t="s">
        <v>29</v>
      </c>
    </row>
    <row r="105" spans="1:17" x14ac:dyDescent="0.35">
      <c r="A105">
        <v>104</v>
      </c>
      <c r="B105" t="s">
        <v>25</v>
      </c>
      <c r="C105">
        <v>15</v>
      </c>
      <c r="D105" t="s">
        <v>42</v>
      </c>
      <c r="E105" t="s">
        <v>19</v>
      </c>
      <c r="F105">
        <v>12</v>
      </c>
      <c r="G105">
        <v>0.66</v>
      </c>
      <c r="H105" t="s">
        <v>20</v>
      </c>
      <c r="I105">
        <v>51107</v>
      </c>
      <c r="J105" t="s">
        <v>21</v>
      </c>
      <c r="K105" t="s">
        <v>21</v>
      </c>
      <c r="L105">
        <v>4.8600000000000003</v>
      </c>
      <c r="M105">
        <v>4.04</v>
      </c>
      <c r="N105">
        <v>4.6900000000000004</v>
      </c>
      <c r="O105" t="s">
        <v>22</v>
      </c>
      <c r="P105" t="s">
        <v>23</v>
      </c>
      <c r="Q105" t="s">
        <v>29</v>
      </c>
    </row>
    <row r="106" spans="1:17" x14ac:dyDescent="0.35">
      <c r="A106">
        <v>105</v>
      </c>
      <c r="B106" t="s">
        <v>25</v>
      </c>
      <c r="C106">
        <v>16</v>
      </c>
      <c r="D106" t="s">
        <v>33</v>
      </c>
      <c r="E106" t="s">
        <v>19</v>
      </c>
      <c r="F106">
        <v>10</v>
      </c>
      <c r="G106">
        <v>0.95</v>
      </c>
      <c r="H106" t="s">
        <v>31</v>
      </c>
      <c r="I106">
        <v>27695</v>
      </c>
      <c r="J106" t="s">
        <v>28</v>
      </c>
      <c r="K106" t="s">
        <v>21</v>
      </c>
      <c r="L106">
        <v>3.33</v>
      </c>
      <c r="M106">
        <v>4.42</v>
      </c>
      <c r="N106">
        <v>4.8</v>
      </c>
      <c r="O106" t="s">
        <v>22</v>
      </c>
      <c r="P106" t="s">
        <v>23</v>
      </c>
      <c r="Q106" t="s">
        <v>24</v>
      </c>
    </row>
    <row r="107" spans="1:17" x14ac:dyDescent="0.35">
      <c r="A107">
        <v>106</v>
      </c>
      <c r="B107" t="s">
        <v>25</v>
      </c>
      <c r="C107">
        <v>18</v>
      </c>
      <c r="D107" t="s">
        <v>33</v>
      </c>
      <c r="E107" t="s">
        <v>35</v>
      </c>
      <c r="F107">
        <v>14</v>
      </c>
      <c r="G107">
        <v>0.68</v>
      </c>
      <c r="H107" t="s">
        <v>31</v>
      </c>
      <c r="I107">
        <v>51347</v>
      </c>
      <c r="J107" t="s">
        <v>28</v>
      </c>
      <c r="K107" t="s">
        <v>21</v>
      </c>
      <c r="L107">
        <v>3</v>
      </c>
      <c r="M107">
        <v>4.07</v>
      </c>
      <c r="N107">
        <v>3.53</v>
      </c>
      <c r="O107" t="s">
        <v>34</v>
      </c>
      <c r="P107" t="s">
        <v>23</v>
      </c>
      <c r="Q107" t="s">
        <v>24</v>
      </c>
    </row>
    <row r="108" spans="1:17" x14ac:dyDescent="0.35">
      <c r="A108">
        <v>107</v>
      </c>
      <c r="B108" t="s">
        <v>25</v>
      </c>
      <c r="C108">
        <v>15</v>
      </c>
      <c r="D108" t="s">
        <v>37</v>
      </c>
      <c r="E108" t="s">
        <v>19</v>
      </c>
      <c r="F108">
        <v>7</v>
      </c>
      <c r="G108">
        <v>0.91</v>
      </c>
      <c r="H108" t="s">
        <v>27</v>
      </c>
      <c r="I108">
        <v>13121</v>
      </c>
      <c r="J108" t="s">
        <v>28</v>
      </c>
      <c r="K108" t="s">
        <v>21</v>
      </c>
      <c r="L108">
        <v>4.97</v>
      </c>
      <c r="M108">
        <v>3.96</v>
      </c>
      <c r="N108">
        <v>4.42</v>
      </c>
      <c r="O108" t="s">
        <v>34</v>
      </c>
      <c r="P108" t="s">
        <v>23</v>
      </c>
      <c r="Q108" t="s">
        <v>29</v>
      </c>
    </row>
    <row r="109" spans="1:17" x14ac:dyDescent="0.35">
      <c r="A109">
        <v>108</v>
      </c>
      <c r="B109" t="s">
        <v>25</v>
      </c>
      <c r="C109">
        <v>16</v>
      </c>
      <c r="D109" t="s">
        <v>37</v>
      </c>
      <c r="E109" t="s">
        <v>19</v>
      </c>
      <c r="F109">
        <v>23</v>
      </c>
      <c r="G109">
        <v>0.7</v>
      </c>
      <c r="H109" t="s">
        <v>40</v>
      </c>
      <c r="I109">
        <v>28257</v>
      </c>
      <c r="J109" t="s">
        <v>28</v>
      </c>
      <c r="K109" t="s">
        <v>28</v>
      </c>
      <c r="L109">
        <v>4.8099999999999996</v>
      </c>
      <c r="M109">
        <v>3.54</v>
      </c>
      <c r="N109">
        <v>3.2</v>
      </c>
      <c r="O109" t="s">
        <v>36</v>
      </c>
      <c r="P109" t="s">
        <v>32</v>
      </c>
      <c r="Q109" t="s">
        <v>29</v>
      </c>
    </row>
    <row r="110" spans="1:17" x14ac:dyDescent="0.35">
      <c r="A110">
        <v>109</v>
      </c>
      <c r="B110" t="s">
        <v>25</v>
      </c>
      <c r="C110">
        <v>16</v>
      </c>
      <c r="D110" t="s">
        <v>18</v>
      </c>
      <c r="E110" t="s">
        <v>35</v>
      </c>
      <c r="F110">
        <v>21</v>
      </c>
      <c r="G110">
        <v>0.67</v>
      </c>
      <c r="H110" t="s">
        <v>40</v>
      </c>
      <c r="I110">
        <v>38164</v>
      </c>
      <c r="J110" t="s">
        <v>21</v>
      </c>
      <c r="K110" t="s">
        <v>28</v>
      </c>
      <c r="L110">
        <v>3.11</v>
      </c>
      <c r="M110">
        <v>3.51</v>
      </c>
      <c r="N110">
        <v>3.07</v>
      </c>
      <c r="O110" t="s">
        <v>36</v>
      </c>
      <c r="P110" t="s">
        <v>32</v>
      </c>
      <c r="Q110" t="s">
        <v>29</v>
      </c>
    </row>
    <row r="111" spans="1:17" x14ac:dyDescent="0.35">
      <c r="A111">
        <v>110</v>
      </c>
      <c r="B111" t="s">
        <v>17</v>
      </c>
      <c r="C111">
        <v>17</v>
      </c>
      <c r="D111" t="s">
        <v>30</v>
      </c>
      <c r="E111" t="s">
        <v>19</v>
      </c>
      <c r="F111">
        <v>11</v>
      </c>
      <c r="G111">
        <v>0.92</v>
      </c>
      <c r="H111" t="s">
        <v>20</v>
      </c>
      <c r="I111">
        <v>35491</v>
      </c>
      <c r="J111" t="s">
        <v>21</v>
      </c>
      <c r="K111" t="s">
        <v>21</v>
      </c>
      <c r="L111">
        <v>4.67</v>
      </c>
      <c r="M111">
        <v>3.84</v>
      </c>
      <c r="N111">
        <v>4.12</v>
      </c>
      <c r="O111" t="s">
        <v>34</v>
      </c>
      <c r="P111" t="s">
        <v>23</v>
      </c>
      <c r="Q111" t="s">
        <v>29</v>
      </c>
    </row>
    <row r="112" spans="1:17" x14ac:dyDescent="0.35">
      <c r="A112">
        <v>111</v>
      </c>
      <c r="B112" t="s">
        <v>25</v>
      </c>
      <c r="C112">
        <v>15</v>
      </c>
      <c r="D112" t="s">
        <v>26</v>
      </c>
      <c r="E112" t="s">
        <v>35</v>
      </c>
      <c r="F112">
        <v>25</v>
      </c>
      <c r="G112">
        <v>0.82</v>
      </c>
      <c r="H112" t="s">
        <v>20</v>
      </c>
      <c r="I112">
        <v>33165</v>
      </c>
      <c r="J112" t="s">
        <v>21</v>
      </c>
      <c r="K112" t="s">
        <v>21</v>
      </c>
      <c r="L112">
        <v>3.92</v>
      </c>
      <c r="M112">
        <v>4.1100000000000003</v>
      </c>
      <c r="N112">
        <v>4.3899999999999997</v>
      </c>
      <c r="O112" t="s">
        <v>34</v>
      </c>
      <c r="P112" t="s">
        <v>32</v>
      </c>
      <c r="Q112" t="s">
        <v>24</v>
      </c>
    </row>
    <row r="113" spans="1:17" x14ac:dyDescent="0.35">
      <c r="A113">
        <v>112</v>
      </c>
      <c r="B113" t="s">
        <v>17</v>
      </c>
      <c r="C113">
        <v>15</v>
      </c>
      <c r="D113" t="s">
        <v>39</v>
      </c>
      <c r="E113" t="s">
        <v>35</v>
      </c>
      <c r="F113">
        <v>24</v>
      </c>
      <c r="G113">
        <v>0.84</v>
      </c>
      <c r="H113" t="s">
        <v>31</v>
      </c>
      <c r="I113">
        <v>58714</v>
      </c>
      <c r="J113" t="s">
        <v>28</v>
      </c>
      <c r="K113" t="s">
        <v>21</v>
      </c>
      <c r="L113">
        <v>3.52</v>
      </c>
      <c r="M113">
        <v>4.78</v>
      </c>
      <c r="N113">
        <v>4.59</v>
      </c>
      <c r="O113" t="s">
        <v>22</v>
      </c>
      <c r="P113" t="s">
        <v>32</v>
      </c>
      <c r="Q113" t="s">
        <v>24</v>
      </c>
    </row>
    <row r="114" spans="1:17" x14ac:dyDescent="0.35">
      <c r="A114">
        <v>113</v>
      </c>
      <c r="B114" t="s">
        <v>25</v>
      </c>
      <c r="C114">
        <v>18</v>
      </c>
      <c r="D114" t="s">
        <v>30</v>
      </c>
      <c r="E114" t="s">
        <v>19</v>
      </c>
      <c r="F114">
        <v>8</v>
      </c>
      <c r="G114">
        <v>0.67</v>
      </c>
      <c r="H114" t="s">
        <v>27</v>
      </c>
      <c r="I114">
        <v>13748</v>
      </c>
      <c r="J114" t="s">
        <v>21</v>
      </c>
      <c r="K114" t="s">
        <v>28</v>
      </c>
      <c r="L114">
        <v>4.76</v>
      </c>
      <c r="M114">
        <v>4.7</v>
      </c>
      <c r="N114">
        <v>3.68</v>
      </c>
      <c r="O114" t="s">
        <v>34</v>
      </c>
      <c r="P114" t="s">
        <v>23</v>
      </c>
      <c r="Q114" t="s">
        <v>29</v>
      </c>
    </row>
    <row r="115" spans="1:17" x14ac:dyDescent="0.35">
      <c r="A115">
        <v>114</v>
      </c>
      <c r="B115" t="s">
        <v>25</v>
      </c>
      <c r="C115">
        <v>17</v>
      </c>
      <c r="D115" t="s">
        <v>41</v>
      </c>
      <c r="E115" t="s">
        <v>19</v>
      </c>
      <c r="F115">
        <v>18</v>
      </c>
      <c r="G115">
        <v>0.81</v>
      </c>
      <c r="H115" t="s">
        <v>31</v>
      </c>
      <c r="I115">
        <v>43045</v>
      </c>
      <c r="J115" t="s">
        <v>28</v>
      </c>
      <c r="K115" t="s">
        <v>28</v>
      </c>
      <c r="L115">
        <v>3.39</v>
      </c>
      <c r="M115">
        <v>3.9</v>
      </c>
      <c r="N115">
        <v>3.01</v>
      </c>
      <c r="O115" t="s">
        <v>36</v>
      </c>
      <c r="P115" t="s">
        <v>32</v>
      </c>
      <c r="Q115" t="s">
        <v>29</v>
      </c>
    </row>
    <row r="116" spans="1:17" x14ac:dyDescent="0.35">
      <c r="A116">
        <v>115</v>
      </c>
      <c r="B116" t="s">
        <v>17</v>
      </c>
      <c r="C116">
        <v>17</v>
      </c>
      <c r="D116" t="s">
        <v>39</v>
      </c>
      <c r="E116" t="s">
        <v>19</v>
      </c>
      <c r="F116">
        <v>24</v>
      </c>
      <c r="G116">
        <v>0.63</v>
      </c>
      <c r="H116" t="s">
        <v>20</v>
      </c>
      <c r="I116">
        <v>36553</v>
      </c>
      <c r="J116" t="s">
        <v>21</v>
      </c>
      <c r="K116" t="s">
        <v>21</v>
      </c>
      <c r="L116">
        <v>4.8899999999999997</v>
      </c>
      <c r="M116">
        <v>3.87</v>
      </c>
      <c r="N116">
        <v>3.96</v>
      </c>
      <c r="O116" t="s">
        <v>34</v>
      </c>
      <c r="P116" t="s">
        <v>32</v>
      </c>
      <c r="Q116" t="s">
        <v>29</v>
      </c>
    </row>
    <row r="117" spans="1:17" x14ac:dyDescent="0.35">
      <c r="A117">
        <v>116</v>
      </c>
      <c r="B117" t="s">
        <v>25</v>
      </c>
      <c r="C117">
        <v>17</v>
      </c>
      <c r="D117" t="s">
        <v>30</v>
      </c>
      <c r="E117" t="s">
        <v>35</v>
      </c>
      <c r="F117">
        <v>26</v>
      </c>
      <c r="G117">
        <v>0.99</v>
      </c>
      <c r="H117" t="s">
        <v>27</v>
      </c>
      <c r="I117">
        <v>54331</v>
      </c>
      <c r="J117" t="s">
        <v>21</v>
      </c>
      <c r="K117" t="s">
        <v>28</v>
      </c>
      <c r="L117">
        <v>3.41</v>
      </c>
      <c r="M117">
        <v>3.84</v>
      </c>
      <c r="N117">
        <v>3.03</v>
      </c>
      <c r="O117" t="s">
        <v>36</v>
      </c>
      <c r="P117" t="s">
        <v>32</v>
      </c>
      <c r="Q117" t="s">
        <v>29</v>
      </c>
    </row>
    <row r="118" spans="1:17" x14ac:dyDescent="0.35">
      <c r="A118">
        <v>117</v>
      </c>
      <c r="B118" t="s">
        <v>17</v>
      </c>
      <c r="C118">
        <v>17</v>
      </c>
      <c r="D118" t="s">
        <v>39</v>
      </c>
      <c r="E118" t="s">
        <v>35</v>
      </c>
      <c r="F118">
        <v>19</v>
      </c>
      <c r="G118">
        <v>0.62</v>
      </c>
      <c r="H118" t="s">
        <v>27</v>
      </c>
      <c r="I118">
        <v>40497</v>
      </c>
      <c r="J118" t="s">
        <v>21</v>
      </c>
      <c r="K118" t="s">
        <v>28</v>
      </c>
      <c r="L118">
        <v>4.2300000000000004</v>
      </c>
      <c r="M118">
        <v>4.01</v>
      </c>
      <c r="N118">
        <v>3.18</v>
      </c>
      <c r="O118" t="s">
        <v>36</v>
      </c>
      <c r="P118" t="s">
        <v>32</v>
      </c>
      <c r="Q118" t="s">
        <v>29</v>
      </c>
    </row>
    <row r="119" spans="1:17" x14ac:dyDescent="0.35">
      <c r="A119">
        <v>118</v>
      </c>
      <c r="B119" t="s">
        <v>25</v>
      </c>
      <c r="C119">
        <v>15</v>
      </c>
      <c r="D119" t="s">
        <v>26</v>
      </c>
      <c r="E119" t="s">
        <v>19</v>
      </c>
      <c r="F119">
        <v>28</v>
      </c>
      <c r="G119">
        <v>0.88</v>
      </c>
      <c r="H119" t="s">
        <v>20</v>
      </c>
      <c r="I119">
        <v>41308</v>
      </c>
      <c r="J119" t="s">
        <v>21</v>
      </c>
      <c r="K119" t="s">
        <v>21</v>
      </c>
      <c r="L119">
        <v>3.45</v>
      </c>
      <c r="M119">
        <v>4.25</v>
      </c>
      <c r="N119">
        <v>3.65</v>
      </c>
      <c r="O119" t="s">
        <v>34</v>
      </c>
      <c r="P119" t="s">
        <v>32</v>
      </c>
      <c r="Q119" t="s">
        <v>24</v>
      </c>
    </row>
    <row r="120" spans="1:17" x14ac:dyDescent="0.35">
      <c r="A120">
        <v>119</v>
      </c>
      <c r="B120" t="s">
        <v>25</v>
      </c>
      <c r="C120">
        <v>15</v>
      </c>
      <c r="D120" t="s">
        <v>41</v>
      </c>
      <c r="E120" t="s">
        <v>19</v>
      </c>
      <c r="F120">
        <v>12</v>
      </c>
      <c r="G120">
        <v>0.88</v>
      </c>
      <c r="H120" t="s">
        <v>40</v>
      </c>
      <c r="I120">
        <v>49560</v>
      </c>
      <c r="J120" t="s">
        <v>28</v>
      </c>
      <c r="K120" t="s">
        <v>21</v>
      </c>
      <c r="L120">
        <v>4.09</v>
      </c>
      <c r="M120">
        <v>4.16</v>
      </c>
      <c r="N120">
        <v>3.87</v>
      </c>
      <c r="O120" t="s">
        <v>34</v>
      </c>
      <c r="P120" t="s">
        <v>23</v>
      </c>
      <c r="Q120" t="s">
        <v>29</v>
      </c>
    </row>
    <row r="121" spans="1:17" x14ac:dyDescent="0.35">
      <c r="A121">
        <v>120</v>
      </c>
      <c r="B121" t="s">
        <v>17</v>
      </c>
      <c r="C121">
        <v>16</v>
      </c>
      <c r="D121" t="s">
        <v>33</v>
      </c>
      <c r="E121" t="s">
        <v>19</v>
      </c>
      <c r="F121">
        <v>25</v>
      </c>
      <c r="G121">
        <v>0.93</v>
      </c>
      <c r="H121" t="s">
        <v>40</v>
      </c>
      <c r="I121">
        <v>56686</v>
      </c>
      <c r="J121" t="s">
        <v>28</v>
      </c>
      <c r="K121" t="s">
        <v>28</v>
      </c>
      <c r="L121">
        <v>4.37</v>
      </c>
      <c r="M121">
        <v>3.83</v>
      </c>
      <c r="N121">
        <v>3.56</v>
      </c>
      <c r="O121" t="s">
        <v>34</v>
      </c>
      <c r="P121" t="s">
        <v>32</v>
      </c>
      <c r="Q121" t="s">
        <v>29</v>
      </c>
    </row>
    <row r="122" spans="1:17" x14ac:dyDescent="0.35">
      <c r="A122">
        <v>121</v>
      </c>
      <c r="B122" t="s">
        <v>25</v>
      </c>
      <c r="C122">
        <v>16</v>
      </c>
      <c r="D122" t="s">
        <v>33</v>
      </c>
      <c r="E122" t="s">
        <v>19</v>
      </c>
      <c r="F122">
        <v>19</v>
      </c>
      <c r="G122">
        <v>0.93</v>
      </c>
      <c r="H122" t="s">
        <v>27</v>
      </c>
      <c r="I122">
        <v>20374</v>
      </c>
      <c r="J122" t="s">
        <v>21</v>
      </c>
      <c r="K122" t="s">
        <v>28</v>
      </c>
      <c r="L122">
        <v>3.38</v>
      </c>
      <c r="M122">
        <v>3.7</v>
      </c>
      <c r="N122">
        <v>4.16</v>
      </c>
      <c r="O122" t="s">
        <v>34</v>
      </c>
      <c r="P122" t="s">
        <v>32</v>
      </c>
      <c r="Q122" t="s">
        <v>24</v>
      </c>
    </row>
    <row r="123" spans="1:17" x14ac:dyDescent="0.35">
      <c r="A123">
        <v>122</v>
      </c>
      <c r="B123" t="s">
        <v>17</v>
      </c>
      <c r="C123">
        <v>17</v>
      </c>
      <c r="D123" t="s">
        <v>26</v>
      </c>
      <c r="E123" t="s">
        <v>35</v>
      </c>
      <c r="F123">
        <v>26</v>
      </c>
      <c r="G123">
        <v>0.87</v>
      </c>
      <c r="H123" t="s">
        <v>31</v>
      </c>
      <c r="I123">
        <v>14675</v>
      </c>
      <c r="J123" t="s">
        <v>28</v>
      </c>
      <c r="K123" t="s">
        <v>28</v>
      </c>
      <c r="L123">
        <v>4.04</v>
      </c>
      <c r="M123">
        <v>3.52</v>
      </c>
      <c r="N123">
        <v>3.11</v>
      </c>
      <c r="O123" t="s">
        <v>36</v>
      </c>
      <c r="P123" t="s">
        <v>32</v>
      </c>
      <c r="Q123" t="s">
        <v>29</v>
      </c>
    </row>
    <row r="124" spans="1:17" x14ac:dyDescent="0.35">
      <c r="A124">
        <v>123</v>
      </c>
      <c r="B124" t="s">
        <v>25</v>
      </c>
      <c r="C124">
        <v>17</v>
      </c>
      <c r="D124" t="s">
        <v>18</v>
      </c>
      <c r="E124" t="s">
        <v>19</v>
      </c>
      <c r="F124">
        <v>24</v>
      </c>
      <c r="G124">
        <v>0.72</v>
      </c>
      <c r="H124" t="s">
        <v>40</v>
      </c>
      <c r="I124">
        <v>11170</v>
      </c>
      <c r="J124" t="s">
        <v>21</v>
      </c>
      <c r="K124" t="s">
        <v>21</v>
      </c>
      <c r="L124">
        <v>3.94</v>
      </c>
      <c r="M124">
        <v>3.73</v>
      </c>
      <c r="N124">
        <v>3.29</v>
      </c>
      <c r="O124" t="s">
        <v>36</v>
      </c>
      <c r="P124" t="s">
        <v>32</v>
      </c>
      <c r="Q124" t="s">
        <v>29</v>
      </c>
    </row>
    <row r="125" spans="1:17" x14ac:dyDescent="0.35">
      <c r="A125">
        <v>124</v>
      </c>
      <c r="B125" t="s">
        <v>17</v>
      </c>
      <c r="C125">
        <v>17</v>
      </c>
      <c r="D125" t="s">
        <v>41</v>
      </c>
      <c r="E125" t="s">
        <v>35</v>
      </c>
      <c r="F125">
        <v>18</v>
      </c>
      <c r="G125">
        <v>0.74</v>
      </c>
      <c r="H125" t="s">
        <v>31</v>
      </c>
      <c r="I125">
        <v>51449</v>
      </c>
      <c r="J125" t="s">
        <v>21</v>
      </c>
      <c r="K125" t="s">
        <v>21</v>
      </c>
      <c r="L125">
        <v>3.14</v>
      </c>
      <c r="M125">
        <v>4.5599999999999996</v>
      </c>
      <c r="N125">
        <v>4.3899999999999997</v>
      </c>
      <c r="O125" t="s">
        <v>34</v>
      </c>
      <c r="P125" t="s">
        <v>32</v>
      </c>
      <c r="Q125" t="s">
        <v>24</v>
      </c>
    </row>
    <row r="126" spans="1:17" x14ac:dyDescent="0.35">
      <c r="A126">
        <v>125</v>
      </c>
      <c r="B126" t="s">
        <v>17</v>
      </c>
      <c r="C126">
        <v>16</v>
      </c>
      <c r="D126" t="s">
        <v>42</v>
      </c>
      <c r="E126" t="s">
        <v>35</v>
      </c>
      <c r="F126">
        <v>13</v>
      </c>
      <c r="G126">
        <v>0.82</v>
      </c>
      <c r="H126" t="s">
        <v>40</v>
      </c>
      <c r="I126">
        <v>53485</v>
      </c>
      <c r="J126" t="s">
        <v>21</v>
      </c>
      <c r="K126" t="s">
        <v>21</v>
      </c>
      <c r="L126">
        <v>4.6399999999999997</v>
      </c>
      <c r="M126">
        <v>3.87</v>
      </c>
      <c r="N126">
        <v>3.28</v>
      </c>
      <c r="O126" t="s">
        <v>36</v>
      </c>
      <c r="P126" t="s">
        <v>23</v>
      </c>
      <c r="Q126" t="s">
        <v>29</v>
      </c>
    </row>
    <row r="127" spans="1:17" x14ac:dyDescent="0.35">
      <c r="A127">
        <v>126</v>
      </c>
      <c r="B127" t="s">
        <v>25</v>
      </c>
      <c r="C127">
        <v>18</v>
      </c>
      <c r="D127" t="s">
        <v>30</v>
      </c>
      <c r="E127" t="s">
        <v>19</v>
      </c>
      <c r="F127">
        <v>12</v>
      </c>
      <c r="G127">
        <v>0.85</v>
      </c>
      <c r="H127" t="s">
        <v>40</v>
      </c>
      <c r="I127">
        <v>22450</v>
      </c>
      <c r="J127" t="s">
        <v>21</v>
      </c>
      <c r="K127" t="s">
        <v>28</v>
      </c>
      <c r="L127">
        <v>3.67</v>
      </c>
      <c r="M127">
        <v>4.2</v>
      </c>
      <c r="N127">
        <v>4.28</v>
      </c>
      <c r="O127" t="s">
        <v>34</v>
      </c>
      <c r="P127" t="s">
        <v>23</v>
      </c>
      <c r="Q127" t="s">
        <v>24</v>
      </c>
    </row>
    <row r="128" spans="1:17" x14ac:dyDescent="0.35">
      <c r="A128">
        <v>127</v>
      </c>
      <c r="B128" t="s">
        <v>25</v>
      </c>
      <c r="C128">
        <v>18</v>
      </c>
      <c r="D128" t="s">
        <v>41</v>
      </c>
      <c r="E128" t="s">
        <v>19</v>
      </c>
      <c r="F128">
        <v>21</v>
      </c>
      <c r="G128">
        <v>0.63</v>
      </c>
      <c r="H128" t="s">
        <v>31</v>
      </c>
      <c r="I128">
        <v>20680</v>
      </c>
      <c r="J128" t="s">
        <v>28</v>
      </c>
      <c r="K128" t="s">
        <v>28</v>
      </c>
      <c r="L128">
        <v>4.1500000000000004</v>
      </c>
      <c r="M128">
        <v>4.3899999999999997</v>
      </c>
      <c r="N128">
        <v>3.11</v>
      </c>
      <c r="O128" t="s">
        <v>36</v>
      </c>
      <c r="P128" t="s">
        <v>32</v>
      </c>
      <c r="Q128" t="s">
        <v>29</v>
      </c>
    </row>
    <row r="129" spans="1:17" x14ac:dyDescent="0.35">
      <c r="A129">
        <v>128</v>
      </c>
      <c r="B129" t="s">
        <v>17</v>
      </c>
      <c r="C129">
        <v>16</v>
      </c>
      <c r="D129" t="s">
        <v>18</v>
      </c>
      <c r="E129" t="s">
        <v>19</v>
      </c>
      <c r="F129">
        <v>6</v>
      </c>
      <c r="G129">
        <v>0.85</v>
      </c>
      <c r="H129" t="s">
        <v>20</v>
      </c>
      <c r="I129">
        <v>20068</v>
      </c>
      <c r="J129" t="s">
        <v>21</v>
      </c>
      <c r="K129" t="s">
        <v>21</v>
      </c>
      <c r="L129">
        <v>4.03</v>
      </c>
      <c r="M129">
        <v>4.83</v>
      </c>
      <c r="N129">
        <v>3.81</v>
      </c>
      <c r="O129" t="s">
        <v>34</v>
      </c>
      <c r="P129" t="s">
        <v>23</v>
      </c>
      <c r="Q129" t="s">
        <v>29</v>
      </c>
    </row>
    <row r="130" spans="1:17" x14ac:dyDescent="0.35">
      <c r="A130">
        <v>129</v>
      </c>
      <c r="B130" t="s">
        <v>25</v>
      </c>
      <c r="C130">
        <v>16</v>
      </c>
      <c r="D130" t="s">
        <v>18</v>
      </c>
      <c r="E130" t="s">
        <v>35</v>
      </c>
      <c r="F130">
        <v>29</v>
      </c>
      <c r="G130">
        <v>0.99</v>
      </c>
      <c r="H130" t="s">
        <v>40</v>
      </c>
      <c r="I130">
        <v>45230</v>
      </c>
      <c r="J130" t="s">
        <v>21</v>
      </c>
      <c r="K130" t="s">
        <v>28</v>
      </c>
      <c r="L130">
        <v>4.03</v>
      </c>
      <c r="M130">
        <v>4.83</v>
      </c>
      <c r="N130">
        <v>3.35</v>
      </c>
      <c r="O130" t="s">
        <v>36</v>
      </c>
      <c r="P130" t="s">
        <v>32</v>
      </c>
      <c r="Q130" t="s">
        <v>29</v>
      </c>
    </row>
    <row r="131" spans="1:17" x14ac:dyDescent="0.35">
      <c r="A131">
        <v>130</v>
      </c>
      <c r="B131" t="s">
        <v>25</v>
      </c>
      <c r="C131">
        <v>16</v>
      </c>
      <c r="D131" t="s">
        <v>26</v>
      </c>
      <c r="E131" t="s">
        <v>19</v>
      </c>
      <c r="F131">
        <v>28</v>
      </c>
      <c r="G131">
        <v>0.68</v>
      </c>
      <c r="H131" t="s">
        <v>40</v>
      </c>
      <c r="I131">
        <v>56418</v>
      </c>
      <c r="J131" t="s">
        <v>28</v>
      </c>
      <c r="K131" t="s">
        <v>21</v>
      </c>
      <c r="L131">
        <v>3.21</v>
      </c>
      <c r="M131">
        <v>4.62</v>
      </c>
      <c r="N131">
        <v>3.22</v>
      </c>
      <c r="O131" t="s">
        <v>36</v>
      </c>
      <c r="P131" t="s">
        <v>32</v>
      </c>
      <c r="Q131" t="s">
        <v>24</v>
      </c>
    </row>
    <row r="132" spans="1:17" x14ac:dyDescent="0.35">
      <c r="A132">
        <v>131</v>
      </c>
      <c r="B132" t="s">
        <v>25</v>
      </c>
      <c r="C132">
        <v>16</v>
      </c>
      <c r="D132" t="s">
        <v>39</v>
      </c>
      <c r="E132" t="s">
        <v>19</v>
      </c>
      <c r="F132">
        <v>7</v>
      </c>
      <c r="G132">
        <v>0.64</v>
      </c>
      <c r="H132" t="s">
        <v>31</v>
      </c>
      <c r="I132">
        <v>36206</v>
      </c>
      <c r="J132" t="s">
        <v>21</v>
      </c>
      <c r="K132" t="s">
        <v>28</v>
      </c>
      <c r="L132">
        <v>3.85</v>
      </c>
      <c r="M132">
        <v>3.55</v>
      </c>
      <c r="N132">
        <v>4.13</v>
      </c>
      <c r="O132" t="s">
        <v>34</v>
      </c>
      <c r="P132" t="s">
        <v>23</v>
      </c>
      <c r="Q132" t="s">
        <v>24</v>
      </c>
    </row>
    <row r="133" spans="1:17" x14ac:dyDescent="0.35">
      <c r="A133">
        <v>132</v>
      </c>
      <c r="B133" t="s">
        <v>17</v>
      </c>
      <c r="C133">
        <v>16</v>
      </c>
      <c r="D133" t="s">
        <v>41</v>
      </c>
      <c r="E133" t="s">
        <v>35</v>
      </c>
      <c r="F133">
        <v>12</v>
      </c>
      <c r="G133">
        <v>0.91</v>
      </c>
      <c r="H133" t="s">
        <v>20</v>
      </c>
      <c r="I133">
        <v>10287</v>
      </c>
      <c r="J133" t="s">
        <v>28</v>
      </c>
      <c r="K133" t="s">
        <v>21</v>
      </c>
      <c r="L133">
        <v>3.9</v>
      </c>
      <c r="M133">
        <v>4.3600000000000003</v>
      </c>
      <c r="N133">
        <v>4.8600000000000003</v>
      </c>
      <c r="O133" t="s">
        <v>22</v>
      </c>
      <c r="P133" t="s">
        <v>23</v>
      </c>
      <c r="Q133" t="s">
        <v>24</v>
      </c>
    </row>
    <row r="134" spans="1:17" x14ac:dyDescent="0.35">
      <c r="A134">
        <v>133</v>
      </c>
      <c r="B134" t="s">
        <v>17</v>
      </c>
      <c r="C134">
        <v>16</v>
      </c>
      <c r="D134" t="s">
        <v>30</v>
      </c>
      <c r="E134" t="s">
        <v>19</v>
      </c>
      <c r="F134">
        <v>16</v>
      </c>
      <c r="G134">
        <v>0.79</v>
      </c>
      <c r="H134" t="s">
        <v>40</v>
      </c>
      <c r="I134">
        <v>32337</v>
      </c>
      <c r="J134" t="s">
        <v>21</v>
      </c>
      <c r="K134" t="s">
        <v>28</v>
      </c>
      <c r="L134">
        <v>4.47</v>
      </c>
      <c r="M134">
        <v>4.68</v>
      </c>
      <c r="N134">
        <v>3.11</v>
      </c>
      <c r="O134" t="s">
        <v>36</v>
      </c>
      <c r="P134" t="s">
        <v>32</v>
      </c>
      <c r="Q134" t="s">
        <v>29</v>
      </c>
    </row>
    <row r="135" spans="1:17" x14ac:dyDescent="0.35">
      <c r="A135">
        <v>134</v>
      </c>
      <c r="B135" t="s">
        <v>17</v>
      </c>
      <c r="C135">
        <v>17</v>
      </c>
      <c r="D135" t="s">
        <v>41</v>
      </c>
      <c r="E135" t="s">
        <v>35</v>
      </c>
      <c r="F135">
        <v>5</v>
      </c>
      <c r="G135">
        <v>0.7</v>
      </c>
      <c r="H135" t="s">
        <v>40</v>
      </c>
      <c r="I135">
        <v>30666</v>
      </c>
      <c r="J135" t="s">
        <v>21</v>
      </c>
      <c r="K135" t="s">
        <v>28</v>
      </c>
      <c r="L135">
        <v>4.68</v>
      </c>
      <c r="M135">
        <v>3.53</v>
      </c>
      <c r="N135">
        <v>3.84</v>
      </c>
      <c r="O135" t="s">
        <v>34</v>
      </c>
      <c r="P135" t="s">
        <v>23</v>
      </c>
      <c r="Q135" t="s">
        <v>29</v>
      </c>
    </row>
    <row r="136" spans="1:17" x14ac:dyDescent="0.35">
      <c r="A136">
        <v>135</v>
      </c>
      <c r="B136" t="s">
        <v>17</v>
      </c>
      <c r="C136">
        <v>17</v>
      </c>
      <c r="D136" t="s">
        <v>37</v>
      </c>
      <c r="E136" t="s">
        <v>19</v>
      </c>
      <c r="F136">
        <v>14</v>
      </c>
      <c r="G136">
        <v>0.74</v>
      </c>
      <c r="H136" t="s">
        <v>20</v>
      </c>
      <c r="I136">
        <v>11161</v>
      </c>
      <c r="J136" t="s">
        <v>21</v>
      </c>
      <c r="K136" t="s">
        <v>21</v>
      </c>
      <c r="L136">
        <v>4.09</v>
      </c>
      <c r="M136">
        <v>4.32</v>
      </c>
      <c r="N136">
        <v>4.42</v>
      </c>
      <c r="O136" t="s">
        <v>34</v>
      </c>
      <c r="P136" t="s">
        <v>23</v>
      </c>
      <c r="Q136" t="s">
        <v>24</v>
      </c>
    </row>
    <row r="137" spans="1:17" x14ac:dyDescent="0.35">
      <c r="A137">
        <v>136</v>
      </c>
      <c r="B137" t="s">
        <v>17</v>
      </c>
      <c r="C137">
        <v>17</v>
      </c>
      <c r="D137" t="s">
        <v>39</v>
      </c>
      <c r="E137" t="s">
        <v>35</v>
      </c>
      <c r="F137">
        <v>24</v>
      </c>
      <c r="G137">
        <v>0.91</v>
      </c>
      <c r="H137" t="s">
        <v>40</v>
      </c>
      <c r="I137">
        <v>59281</v>
      </c>
      <c r="J137" t="s">
        <v>21</v>
      </c>
      <c r="K137" t="s">
        <v>21</v>
      </c>
      <c r="L137">
        <v>3.17</v>
      </c>
      <c r="M137">
        <v>4.79</v>
      </c>
      <c r="N137">
        <v>3.93</v>
      </c>
      <c r="O137" t="s">
        <v>34</v>
      </c>
      <c r="P137" t="s">
        <v>32</v>
      </c>
      <c r="Q137" t="s">
        <v>24</v>
      </c>
    </row>
    <row r="138" spans="1:17" x14ac:dyDescent="0.35">
      <c r="A138">
        <v>137</v>
      </c>
      <c r="B138" t="s">
        <v>17</v>
      </c>
      <c r="C138">
        <v>17</v>
      </c>
      <c r="D138" t="s">
        <v>30</v>
      </c>
      <c r="E138" t="s">
        <v>19</v>
      </c>
      <c r="F138">
        <v>7</v>
      </c>
      <c r="G138">
        <v>0.87</v>
      </c>
      <c r="H138" t="s">
        <v>20</v>
      </c>
      <c r="I138">
        <v>45131</v>
      </c>
      <c r="J138" t="s">
        <v>21</v>
      </c>
      <c r="K138" t="s">
        <v>21</v>
      </c>
      <c r="L138">
        <v>3.47</v>
      </c>
      <c r="M138">
        <v>4.21</v>
      </c>
      <c r="N138">
        <v>4.6100000000000003</v>
      </c>
      <c r="O138" t="s">
        <v>22</v>
      </c>
      <c r="P138" t="s">
        <v>23</v>
      </c>
      <c r="Q138" t="s">
        <v>24</v>
      </c>
    </row>
    <row r="139" spans="1:17" x14ac:dyDescent="0.35">
      <c r="A139">
        <v>138</v>
      </c>
      <c r="B139" t="s">
        <v>17</v>
      </c>
      <c r="C139">
        <v>16</v>
      </c>
      <c r="D139" t="s">
        <v>33</v>
      </c>
      <c r="E139" t="s">
        <v>19</v>
      </c>
      <c r="F139">
        <v>10</v>
      </c>
      <c r="G139">
        <v>0.81</v>
      </c>
      <c r="H139" t="s">
        <v>20</v>
      </c>
      <c r="I139">
        <v>34535</v>
      </c>
      <c r="J139" t="s">
        <v>21</v>
      </c>
      <c r="K139" t="s">
        <v>21</v>
      </c>
      <c r="L139">
        <v>3.33</v>
      </c>
      <c r="M139">
        <v>3.51</v>
      </c>
      <c r="N139">
        <v>3.36</v>
      </c>
      <c r="O139" t="s">
        <v>36</v>
      </c>
      <c r="P139" t="s">
        <v>23</v>
      </c>
      <c r="Q139" t="s">
        <v>24</v>
      </c>
    </row>
    <row r="140" spans="1:17" x14ac:dyDescent="0.35">
      <c r="A140">
        <v>139</v>
      </c>
      <c r="B140" t="s">
        <v>17</v>
      </c>
      <c r="C140">
        <v>18</v>
      </c>
      <c r="D140" t="s">
        <v>30</v>
      </c>
      <c r="E140" t="s">
        <v>35</v>
      </c>
      <c r="F140">
        <v>11</v>
      </c>
      <c r="G140">
        <v>0.76</v>
      </c>
      <c r="H140" t="s">
        <v>31</v>
      </c>
      <c r="I140">
        <v>42528</v>
      </c>
      <c r="J140" t="s">
        <v>28</v>
      </c>
      <c r="K140" t="s">
        <v>21</v>
      </c>
      <c r="L140">
        <v>3.25</v>
      </c>
      <c r="M140">
        <v>3.52</v>
      </c>
      <c r="N140">
        <v>4.92</v>
      </c>
      <c r="O140" t="s">
        <v>22</v>
      </c>
      <c r="P140" t="s">
        <v>23</v>
      </c>
      <c r="Q140" t="s">
        <v>24</v>
      </c>
    </row>
    <row r="141" spans="1:17" x14ac:dyDescent="0.35">
      <c r="A141">
        <v>140</v>
      </c>
      <c r="B141" t="s">
        <v>17</v>
      </c>
      <c r="C141">
        <v>15</v>
      </c>
      <c r="D141" t="s">
        <v>42</v>
      </c>
      <c r="E141" t="s">
        <v>35</v>
      </c>
      <c r="F141">
        <v>24</v>
      </c>
      <c r="G141">
        <v>0.85</v>
      </c>
      <c r="H141" t="s">
        <v>27</v>
      </c>
      <c r="I141">
        <v>48751</v>
      </c>
      <c r="J141" t="s">
        <v>21</v>
      </c>
      <c r="K141" t="s">
        <v>28</v>
      </c>
      <c r="L141">
        <v>3.73</v>
      </c>
      <c r="M141">
        <v>4.12</v>
      </c>
      <c r="N141">
        <v>3.77</v>
      </c>
      <c r="O141" t="s">
        <v>34</v>
      </c>
      <c r="P141" t="s">
        <v>32</v>
      </c>
      <c r="Q141" t="s">
        <v>24</v>
      </c>
    </row>
    <row r="142" spans="1:17" x14ac:dyDescent="0.35">
      <c r="A142">
        <v>141</v>
      </c>
      <c r="B142" t="s">
        <v>25</v>
      </c>
      <c r="C142">
        <v>16</v>
      </c>
      <c r="D142" t="s">
        <v>26</v>
      </c>
      <c r="E142" t="s">
        <v>19</v>
      </c>
      <c r="F142">
        <v>27</v>
      </c>
      <c r="G142">
        <v>0.66</v>
      </c>
      <c r="H142" t="s">
        <v>20</v>
      </c>
      <c r="I142">
        <v>26527</v>
      </c>
      <c r="J142" t="s">
        <v>28</v>
      </c>
      <c r="K142" t="s">
        <v>21</v>
      </c>
      <c r="L142">
        <v>3.46</v>
      </c>
      <c r="M142">
        <v>3.73</v>
      </c>
      <c r="N142">
        <v>3.68</v>
      </c>
      <c r="O142" t="s">
        <v>34</v>
      </c>
      <c r="P142" t="s">
        <v>32</v>
      </c>
      <c r="Q142" t="s">
        <v>24</v>
      </c>
    </row>
    <row r="143" spans="1:17" x14ac:dyDescent="0.35">
      <c r="A143">
        <v>142</v>
      </c>
      <c r="B143" t="s">
        <v>17</v>
      </c>
      <c r="C143">
        <v>15</v>
      </c>
      <c r="D143" t="s">
        <v>42</v>
      </c>
      <c r="E143" t="s">
        <v>35</v>
      </c>
      <c r="F143">
        <v>29</v>
      </c>
      <c r="G143">
        <v>0.85</v>
      </c>
      <c r="H143" t="s">
        <v>31</v>
      </c>
      <c r="I143">
        <v>50975</v>
      </c>
      <c r="J143" t="s">
        <v>28</v>
      </c>
      <c r="K143" t="s">
        <v>21</v>
      </c>
      <c r="L143">
        <v>3.44</v>
      </c>
      <c r="M143">
        <v>4.5</v>
      </c>
      <c r="N143">
        <v>4.75</v>
      </c>
      <c r="O143" t="s">
        <v>22</v>
      </c>
      <c r="P143" t="s">
        <v>32</v>
      </c>
      <c r="Q143" t="s">
        <v>24</v>
      </c>
    </row>
    <row r="144" spans="1:17" x14ac:dyDescent="0.35">
      <c r="A144">
        <v>143</v>
      </c>
      <c r="B144" t="s">
        <v>25</v>
      </c>
      <c r="C144">
        <v>18</v>
      </c>
      <c r="D144" t="s">
        <v>30</v>
      </c>
      <c r="E144" t="s">
        <v>35</v>
      </c>
      <c r="F144">
        <v>22</v>
      </c>
      <c r="G144">
        <v>0.84</v>
      </c>
      <c r="H144" t="s">
        <v>27</v>
      </c>
      <c r="I144">
        <v>33853</v>
      </c>
      <c r="J144" t="s">
        <v>21</v>
      </c>
      <c r="K144" t="s">
        <v>21</v>
      </c>
      <c r="L144">
        <v>3.11</v>
      </c>
      <c r="M144">
        <v>4.5599999999999996</v>
      </c>
      <c r="N144">
        <v>4.13</v>
      </c>
      <c r="O144" t="s">
        <v>34</v>
      </c>
      <c r="P144" t="s">
        <v>32</v>
      </c>
      <c r="Q144" t="s">
        <v>24</v>
      </c>
    </row>
    <row r="145" spans="1:17" x14ac:dyDescent="0.35">
      <c r="A145">
        <v>144</v>
      </c>
      <c r="B145" t="s">
        <v>25</v>
      </c>
      <c r="C145">
        <v>17</v>
      </c>
      <c r="D145" t="s">
        <v>39</v>
      </c>
      <c r="E145" t="s">
        <v>35</v>
      </c>
      <c r="F145">
        <v>15</v>
      </c>
      <c r="G145">
        <v>0.69</v>
      </c>
      <c r="H145" t="s">
        <v>40</v>
      </c>
      <c r="I145">
        <v>24758</v>
      </c>
      <c r="J145" t="s">
        <v>28</v>
      </c>
      <c r="K145" t="s">
        <v>21</v>
      </c>
      <c r="L145">
        <v>3.04</v>
      </c>
      <c r="M145">
        <v>3.77</v>
      </c>
      <c r="N145">
        <v>4.03</v>
      </c>
      <c r="O145" t="s">
        <v>34</v>
      </c>
      <c r="P145" t="s">
        <v>32</v>
      </c>
      <c r="Q145" t="s">
        <v>24</v>
      </c>
    </row>
    <row r="146" spans="1:17" x14ac:dyDescent="0.35">
      <c r="A146">
        <v>145</v>
      </c>
      <c r="B146" t="s">
        <v>25</v>
      </c>
      <c r="C146">
        <v>18</v>
      </c>
      <c r="D146" t="s">
        <v>41</v>
      </c>
      <c r="E146" t="s">
        <v>35</v>
      </c>
      <c r="F146">
        <v>23</v>
      </c>
      <c r="G146">
        <v>0.78</v>
      </c>
      <c r="H146" t="s">
        <v>27</v>
      </c>
      <c r="I146">
        <v>10244</v>
      </c>
      <c r="J146" t="s">
        <v>21</v>
      </c>
      <c r="K146" t="s">
        <v>21</v>
      </c>
      <c r="L146">
        <v>3.21</v>
      </c>
      <c r="M146">
        <v>4.83</v>
      </c>
      <c r="N146">
        <v>4.45</v>
      </c>
      <c r="O146" t="s">
        <v>34</v>
      </c>
      <c r="P146" t="s">
        <v>32</v>
      </c>
      <c r="Q146" t="s">
        <v>24</v>
      </c>
    </row>
    <row r="147" spans="1:17" x14ac:dyDescent="0.35">
      <c r="A147">
        <v>146</v>
      </c>
      <c r="B147" t="s">
        <v>17</v>
      </c>
      <c r="C147">
        <v>16</v>
      </c>
      <c r="D147" t="s">
        <v>33</v>
      </c>
      <c r="E147" t="s">
        <v>19</v>
      </c>
      <c r="F147">
        <v>9</v>
      </c>
      <c r="G147">
        <v>0.7</v>
      </c>
      <c r="H147" t="s">
        <v>20</v>
      </c>
      <c r="I147">
        <v>13178</v>
      </c>
      <c r="J147" t="s">
        <v>28</v>
      </c>
      <c r="K147" t="s">
        <v>28</v>
      </c>
      <c r="L147">
        <v>3.34</v>
      </c>
      <c r="M147">
        <v>4.16</v>
      </c>
      <c r="N147">
        <v>4.16</v>
      </c>
      <c r="O147" t="s">
        <v>34</v>
      </c>
      <c r="P147" t="s">
        <v>23</v>
      </c>
      <c r="Q147" t="s">
        <v>24</v>
      </c>
    </row>
    <row r="148" spans="1:17" x14ac:dyDescent="0.35">
      <c r="A148">
        <v>147</v>
      </c>
      <c r="B148" t="s">
        <v>17</v>
      </c>
      <c r="C148">
        <v>17</v>
      </c>
      <c r="D148" t="s">
        <v>41</v>
      </c>
      <c r="E148" t="s">
        <v>19</v>
      </c>
      <c r="F148">
        <v>23</v>
      </c>
      <c r="G148">
        <v>0.72</v>
      </c>
      <c r="H148" t="s">
        <v>20</v>
      </c>
      <c r="I148">
        <v>41831</v>
      </c>
      <c r="J148" t="s">
        <v>21</v>
      </c>
      <c r="K148" t="s">
        <v>21</v>
      </c>
      <c r="L148">
        <v>3.86</v>
      </c>
      <c r="M148">
        <v>3.71</v>
      </c>
      <c r="N148">
        <v>3.33</v>
      </c>
      <c r="O148" t="s">
        <v>36</v>
      </c>
      <c r="P148" t="s">
        <v>32</v>
      </c>
      <c r="Q148" t="s">
        <v>29</v>
      </c>
    </row>
    <row r="149" spans="1:17" x14ac:dyDescent="0.35">
      <c r="A149">
        <v>148</v>
      </c>
      <c r="B149" t="s">
        <v>17</v>
      </c>
      <c r="C149">
        <v>16</v>
      </c>
      <c r="D149" t="s">
        <v>39</v>
      </c>
      <c r="E149" t="s">
        <v>35</v>
      </c>
      <c r="F149">
        <v>15</v>
      </c>
      <c r="G149">
        <v>0.67</v>
      </c>
      <c r="H149" t="s">
        <v>20</v>
      </c>
      <c r="I149">
        <v>12176</v>
      </c>
      <c r="J149" t="s">
        <v>28</v>
      </c>
      <c r="K149" t="s">
        <v>21</v>
      </c>
      <c r="L149">
        <v>4.0199999999999996</v>
      </c>
      <c r="M149">
        <v>4.6500000000000004</v>
      </c>
      <c r="N149">
        <v>4.3499999999999996</v>
      </c>
      <c r="O149" t="s">
        <v>34</v>
      </c>
      <c r="P149" t="s">
        <v>32</v>
      </c>
      <c r="Q149" t="s">
        <v>24</v>
      </c>
    </row>
    <row r="150" spans="1:17" x14ac:dyDescent="0.35">
      <c r="A150">
        <v>149</v>
      </c>
      <c r="B150" t="s">
        <v>17</v>
      </c>
      <c r="C150">
        <v>17</v>
      </c>
      <c r="D150" t="s">
        <v>30</v>
      </c>
      <c r="E150" t="s">
        <v>35</v>
      </c>
      <c r="F150">
        <v>28</v>
      </c>
      <c r="G150">
        <v>0.99</v>
      </c>
      <c r="H150" t="s">
        <v>20</v>
      </c>
      <c r="I150">
        <v>47770</v>
      </c>
      <c r="J150" t="s">
        <v>28</v>
      </c>
      <c r="K150" t="s">
        <v>21</v>
      </c>
      <c r="L150">
        <v>3.28</v>
      </c>
      <c r="M150">
        <v>4.68</v>
      </c>
      <c r="N150">
        <v>3.27</v>
      </c>
      <c r="O150" t="s">
        <v>36</v>
      </c>
      <c r="P150" t="s">
        <v>32</v>
      </c>
      <c r="Q150" t="s">
        <v>29</v>
      </c>
    </row>
    <row r="151" spans="1:17" x14ac:dyDescent="0.35">
      <c r="A151">
        <v>150</v>
      </c>
      <c r="B151" t="s">
        <v>25</v>
      </c>
      <c r="C151">
        <v>15</v>
      </c>
      <c r="D151" t="s">
        <v>18</v>
      </c>
      <c r="E151" t="s">
        <v>35</v>
      </c>
      <c r="F151">
        <v>16</v>
      </c>
      <c r="G151">
        <v>0.63</v>
      </c>
      <c r="H151" t="s">
        <v>20</v>
      </c>
      <c r="I151">
        <v>43654</v>
      </c>
      <c r="J151" t="s">
        <v>21</v>
      </c>
      <c r="K151" t="s">
        <v>28</v>
      </c>
      <c r="L151">
        <v>3.85</v>
      </c>
      <c r="M151">
        <v>4.46</v>
      </c>
      <c r="N151">
        <v>4.6100000000000003</v>
      </c>
      <c r="O151" t="s">
        <v>22</v>
      </c>
      <c r="P151" t="s">
        <v>32</v>
      </c>
      <c r="Q151" t="s">
        <v>24</v>
      </c>
    </row>
    <row r="152" spans="1:17" x14ac:dyDescent="0.35">
      <c r="A152">
        <v>151</v>
      </c>
      <c r="B152" t="s">
        <v>17</v>
      </c>
      <c r="C152">
        <v>15</v>
      </c>
      <c r="D152" t="s">
        <v>41</v>
      </c>
      <c r="E152" t="s">
        <v>35</v>
      </c>
      <c r="F152">
        <v>14</v>
      </c>
      <c r="G152">
        <v>0.9</v>
      </c>
      <c r="H152" t="s">
        <v>31</v>
      </c>
      <c r="I152">
        <v>36627</v>
      </c>
      <c r="J152" t="s">
        <v>28</v>
      </c>
      <c r="K152" t="s">
        <v>28</v>
      </c>
      <c r="L152">
        <v>3.68</v>
      </c>
      <c r="M152">
        <v>4.78</v>
      </c>
      <c r="N152">
        <v>4.9800000000000004</v>
      </c>
      <c r="O152" t="s">
        <v>22</v>
      </c>
      <c r="P152" t="s">
        <v>23</v>
      </c>
      <c r="Q152" t="s">
        <v>24</v>
      </c>
    </row>
    <row r="153" spans="1:17" x14ac:dyDescent="0.35">
      <c r="A153">
        <v>152</v>
      </c>
      <c r="B153" t="s">
        <v>17</v>
      </c>
      <c r="C153">
        <v>15</v>
      </c>
      <c r="D153" t="s">
        <v>18</v>
      </c>
      <c r="E153" t="s">
        <v>19</v>
      </c>
      <c r="F153">
        <v>12</v>
      </c>
      <c r="G153">
        <v>0.87</v>
      </c>
      <c r="H153" t="s">
        <v>20</v>
      </c>
      <c r="I153">
        <v>56489</v>
      </c>
      <c r="J153" t="s">
        <v>21</v>
      </c>
      <c r="K153" t="s">
        <v>21</v>
      </c>
      <c r="L153">
        <v>3.37</v>
      </c>
      <c r="M153">
        <v>4.6100000000000003</v>
      </c>
      <c r="N153">
        <v>3.75</v>
      </c>
      <c r="O153" t="s">
        <v>34</v>
      </c>
      <c r="P153" t="s">
        <v>23</v>
      </c>
      <c r="Q153" t="s">
        <v>24</v>
      </c>
    </row>
    <row r="154" spans="1:17" x14ac:dyDescent="0.35">
      <c r="A154">
        <v>153</v>
      </c>
      <c r="B154" t="s">
        <v>17</v>
      </c>
      <c r="C154">
        <v>18</v>
      </c>
      <c r="D154" t="s">
        <v>41</v>
      </c>
      <c r="E154" t="s">
        <v>19</v>
      </c>
      <c r="F154">
        <v>28</v>
      </c>
      <c r="G154">
        <v>0.7</v>
      </c>
      <c r="H154" t="s">
        <v>31</v>
      </c>
      <c r="I154">
        <v>54910</v>
      </c>
      <c r="J154" t="s">
        <v>21</v>
      </c>
      <c r="K154" t="s">
        <v>21</v>
      </c>
      <c r="L154">
        <v>3.01</v>
      </c>
      <c r="M154">
        <v>4.82</v>
      </c>
      <c r="N154">
        <v>3.89</v>
      </c>
      <c r="O154" t="s">
        <v>34</v>
      </c>
      <c r="P154" t="s">
        <v>32</v>
      </c>
      <c r="Q154" t="s">
        <v>24</v>
      </c>
    </row>
    <row r="155" spans="1:17" x14ac:dyDescent="0.35">
      <c r="A155">
        <v>154</v>
      </c>
      <c r="B155" t="s">
        <v>17</v>
      </c>
      <c r="C155">
        <v>16</v>
      </c>
      <c r="D155" t="s">
        <v>41</v>
      </c>
      <c r="E155" t="s">
        <v>35</v>
      </c>
      <c r="F155">
        <v>13</v>
      </c>
      <c r="G155">
        <v>0.6</v>
      </c>
      <c r="H155" t="s">
        <v>40</v>
      </c>
      <c r="I155">
        <v>34881</v>
      </c>
      <c r="J155" t="s">
        <v>21</v>
      </c>
      <c r="K155" t="s">
        <v>28</v>
      </c>
      <c r="L155">
        <v>3.93</v>
      </c>
      <c r="M155">
        <v>4.1500000000000004</v>
      </c>
      <c r="N155">
        <v>3.09</v>
      </c>
      <c r="O155" t="s">
        <v>36</v>
      </c>
      <c r="P155" t="s">
        <v>23</v>
      </c>
      <c r="Q155" t="s">
        <v>29</v>
      </c>
    </row>
    <row r="156" spans="1:17" x14ac:dyDescent="0.35">
      <c r="A156">
        <v>155</v>
      </c>
      <c r="B156" t="s">
        <v>17</v>
      </c>
      <c r="C156">
        <v>18</v>
      </c>
      <c r="D156" t="s">
        <v>33</v>
      </c>
      <c r="E156" t="s">
        <v>35</v>
      </c>
      <c r="F156">
        <v>8</v>
      </c>
      <c r="G156">
        <v>0.97</v>
      </c>
      <c r="H156" t="s">
        <v>20</v>
      </c>
      <c r="I156">
        <v>45422</v>
      </c>
      <c r="J156" t="s">
        <v>21</v>
      </c>
      <c r="K156" t="s">
        <v>28</v>
      </c>
      <c r="L156">
        <v>4.37</v>
      </c>
      <c r="M156">
        <v>4.62</v>
      </c>
      <c r="N156">
        <v>3.03</v>
      </c>
      <c r="O156" t="s">
        <v>36</v>
      </c>
      <c r="P156" t="s">
        <v>23</v>
      </c>
      <c r="Q156" t="s">
        <v>29</v>
      </c>
    </row>
    <row r="157" spans="1:17" x14ac:dyDescent="0.35">
      <c r="A157">
        <v>156</v>
      </c>
      <c r="B157" t="s">
        <v>25</v>
      </c>
      <c r="C157">
        <v>15</v>
      </c>
      <c r="D157" t="s">
        <v>26</v>
      </c>
      <c r="E157" t="s">
        <v>35</v>
      </c>
      <c r="F157">
        <v>9</v>
      </c>
      <c r="G157">
        <v>0.83</v>
      </c>
      <c r="H157" t="s">
        <v>20</v>
      </c>
      <c r="I157">
        <v>21984</v>
      </c>
      <c r="J157" t="s">
        <v>21</v>
      </c>
      <c r="K157" t="s">
        <v>28</v>
      </c>
      <c r="L157">
        <v>3.45</v>
      </c>
      <c r="M157">
        <v>5</v>
      </c>
      <c r="N157">
        <v>4.84</v>
      </c>
      <c r="O157" t="s">
        <v>22</v>
      </c>
      <c r="P157" t="s">
        <v>23</v>
      </c>
      <c r="Q157" t="s">
        <v>24</v>
      </c>
    </row>
    <row r="158" spans="1:17" x14ac:dyDescent="0.35">
      <c r="A158">
        <v>157</v>
      </c>
      <c r="B158" t="s">
        <v>17</v>
      </c>
      <c r="C158">
        <v>16</v>
      </c>
      <c r="D158" t="s">
        <v>26</v>
      </c>
      <c r="E158" t="s">
        <v>19</v>
      </c>
      <c r="F158">
        <v>25</v>
      </c>
      <c r="G158">
        <v>0.9</v>
      </c>
      <c r="H158" t="s">
        <v>27</v>
      </c>
      <c r="I158">
        <v>33776</v>
      </c>
      <c r="J158" t="s">
        <v>28</v>
      </c>
      <c r="K158" t="s">
        <v>21</v>
      </c>
      <c r="L158">
        <v>3.26</v>
      </c>
      <c r="M158">
        <v>4.59</v>
      </c>
      <c r="N158">
        <v>3.26</v>
      </c>
      <c r="O158" t="s">
        <v>36</v>
      </c>
      <c r="P158" t="s">
        <v>32</v>
      </c>
      <c r="Q158" t="s">
        <v>38</v>
      </c>
    </row>
    <row r="159" spans="1:17" x14ac:dyDescent="0.35">
      <c r="A159">
        <v>158</v>
      </c>
      <c r="B159" t="s">
        <v>25</v>
      </c>
      <c r="C159">
        <v>15</v>
      </c>
      <c r="D159" t="s">
        <v>37</v>
      </c>
      <c r="E159" t="s">
        <v>35</v>
      </c>
      <c r="F159">
        <v>12</v>
      </c>
      <c r="G159">
        <v>0.85</v>
      </c>
      <c r="H159" t="s">
        <v>40</v>
      </c>
      <c r="I159">
        <v>27755</v>
      </c>
      <c r="J159" t="s">
        <v>28</v>
      </c>
      <c r="K159" t="s">
        <v>21</v>
      </c>
      <c r="L159">
        <v>4.7699999999999996</v>
      </c>
      <c r="M159">
        <v>3.67</v>
      </c>
      <c r="N159">
        <v>3.89</v>
      </c>
      <c r="O159" t="s">
        <v>34</v>
      </c>
      <c r="P159" t="s">
        <v>23</v>
      </c>
      <c r="Q159" t="s">
        <v>29</v>
      </c>
    </row>
    <row r="160" spans="1:17" x14ac:dyDescent="0.35">
      <c r="A160">
        <v>159</v>
      </c>
      <c r="B160" t="s">
        <v>17</v>
      </c>
      <c r="C160">
        <v>18</v>
      </c>
      <c r="D160" t="s">
        <v>42</v>
      </c>
      <c r="E160" t="s">
        <v>19</v>
      </c>
      <c r="F160">
        <v>27</v>
      </c>
      <c r="G160">
        <v>0.64</v>
      </c>
      <c r="H160" t="s">
        <v>20</v>
      </c>
      <c r="I160">
        <v>17135</v>
      </c>
      <c r="J160" t="s">
        <v>28</v>
      </c>
      <c r="K160" t="s">
        <v>28</v>
      </c>
      <c r="L160">
        <v>3.55</v>
      </c>
      <c r="M160">
        <v>4.28</v>
      </c>
      <c r="N160">
        <v>4.63</v>
      </c>
      <c r="O160" t="s">
        <v>22</v>
      </c>
      <c r="P160" t="s">
        <v>32</v>
      </c>
      <c r="Q160" t="s">
        <v>24</v>
      </c>
    </row>
    <row r="161" spans="1:17" x14ac:dyDescent="0.35">
      <c r="A161">
        <v>160</v>
      </c>
      <c r="B161" t="s">
        <v>25</v>
      </c>
      <c r="C161">
        <v>18</v>
      </c>
      <c r="D161" t="s">
        <v>39</v>
      </c>
      <c r="E161" t="s">
        <v>35</v>
      </c>
      <c r="F161">
        <v>13</v>
      </c>
      <c r="G161">
        <v>0.79</v>
      </c>
      <c r="H161" t="s">
        <v>20</v>
      </c>
      <c r="I161">
        <v>10320</v>
      </c>
      <c r="J161" t="s">
        <v>21</v>
      </c>
      <c r="K161" t="s">
        <v>21</v>
      </c>
      <c r="L161">
        <v>3.45</v>
      </c>
      <c r="M161">
        <v>4.38</v>
      </c>
      <c r="N161">
        <v>4.78</v>
      </c>
      <c r="O161" t="s">
        <v>22</v>
      </c>
      <c r="P161" t="s">
        <v>23</v>
      </c>
      <c r="Q161" t="s">
        <v>24</v>
      </c>
    </row>
    <row r="162" spans="1:17" x14ac:dyDescent="0.35">
      <c r="A162">
        <v>161</v>
      </c>
      <c r="B162" t="s">
        <v>17</v>
      </c>
      <c r="C162">
        <v>18</v>
      </c>
      <c r="D162" t="s">
        <v>39</v>
      </c>
      <c r="E162" t="s">
        <v>19</v>
      </c>
      <c r="F162">
        <v>19</v>
      </c>
      <c r="G162">
        <v>0.7</v>
      </c>
      <c r="H162" t="s">
        <v>40</v>
      </c>
      <c r="I162">
        <v>47422</v>
      </c>
      <c r="J162" t="s">
        <v>28</v>
      </c>
      <c r="K162" t="s">
        <v>28</v>
      </c>
      <c r="L162">
        <v>4.71</v>
      </c>
      <c r="M162">
        <v>3.76</v>
      </c>
      <c r="N162">
        <v>4.04</v>
      </c>
      <c r="O162" t="s">
        <v>34</v>
      </c>
      <c r="P162" t="s">
        <v>32</v>
      </c>
      <c r="Q162" t="s">
        <v>29</v>
      </c>
    </row>
    <row r="163" spans="1:17" x14ac:dyDescent="0.35">
      <c r="A163">
        <v>162</v>
      </c>
      <c r="B163" t="s">
        <v>17</v>
      </c>
      <c r="C163">
        <v>15</v>
      </c>
      <c r="D163" t="s">
        <v>39</v>
      </c>
      <c r="E163" t="s">
        <v>35</v>
      </c>
      <c r="F163">
        <v>19</v>
      </c>
      <c r="G163">
        <v>0.92</v>
      </c>
      <c r="H163" t="s">
        <v>31</v>
      </c>
      <c r="I163">
        <v>38635</v>
      </c>
      <c r="J163" t="s">
        <v>28</v>
      </c>
      <c r="K163" t="s">
        <v>28</v>
      </c>
      <c r="L163">
        <v>4.63</v>
      </c>
      <c r="M163">
        <v>4.9400000000000004</v>
      </c>
      <c r="N163">
        <v>4.13</v>
      </c>
      <c r="O163" t="s">
        <v>34</v>
      </c>
      <c r="P163" t="s">
        <v>32</v>
      </c>
      <c r="Q163" t="s">
        <v>29</v>
      </c>
    </row>
    <row r="164" spans="1:17" x14ac:dyDescent="0.35">
      <c r="A164">
        <v>163</v>
      </c>
      <c r="B164" t="s">
        <v>25</v>
      </c>
      <c r="C164">
        <v>16</v>
      </c>
      <c r="D164" t="s">
        <v>37</v>
      </c>
      <c r="E164" t="s">
        <v>19</v>
      </c>
      <c r="F164">
        <v>20</v>
      </c>
      <c r="G164">
        <v>0.97</v>
      </c>
      <c r="H164" t="s">
        <v>20</v>
      </c>
      <c r="I164">
        <v>31684</v>
      </c>
      <c r="J164" t="s">
        <v>28</v>
      </c>
      <c r="K164" t="s">
        <v>28</v>
      </c>
      <c r="L164">
        <v>3.9</v>
      </c>
      <c r="M164">
        <v>3.76</v>
      </c>
      <c r="N164">
        <v>4.34</v>
      </c>
      <c r="O164" t="s">
        <v>34</v>
      </c>
      <c r="P164" t="s">
        <v>32</v>
      </c>
      <c r="Q164" t="s">
        <v>24</v>
      </c>
    </row>
    <row r="165" spans="1:17" x14ac:dyDescent="0.35">
      <c r="A165">
        <v>164</v>
      </c>
      <c r="B165" t="s">
        <v>25</v>
      </c>
      <c r="C165">
        <v>16</v>
      </c>
      <c r="D165" t="s">
        <v>26</v>
      </c>
      <c r="E165" t="s">
        <v>35</v>
      </c>
      <c r="F165">
        <v>18</v>
      </c>
      <c r="G165">
        <v>0.86</v>
      </c>
      <c r="H165" t="s">
        <v>27</v>
      </c>
      <c r="I165">
        <v>33238</v>
      </c>
      <c r="J165" t="s">
        <v>28</v>
      </c>
      <c r="K165" t="s">
        <v>21</v>
      </c>
      <c r="L165">
        <v>3.98</v>
      </c>
      <c r="M165">
        <v>3.77</v>
      </c>
      <c r="N165">
        <v>4.92</v>
      </c>
      <c r="O165" t="s">
        <v>22</v>
      </c>
      <c r="P165" t="s">
        <v>32</v>
      </c>
      <c r="Q165" t="s">
        <v>24</v>
      </c>
    </row>
    <row r="166" spans="1:17" x14ac:dyDescent="0.35">
      <c r="A166">
        <v>165</v>
      </c>
      <c r="B166" t="s">
        <v>25</v>
      </c>
      <c r="C166">
        <v>15</v>
      </c>
      <c r="D166" t="s">
        <v>30</v>
      </c>
      <c r="E166" t="s">
        <v>35</v>
      </c>
      <c r="F166">
        <v>12</v>
      </c>
      <c r="G166">
        <v>0.93</v>
      </c>
      <c r="H166" t="s">
        <v>20</v>
      </c>
      <c r="I166">
        <v>31889</v>
      </c>
      <c r="J166" t="s">
        <v>28</v>
      </c>
      <c r="K166" t="s">
        <v>28</v>
      </c>
      <c r="L166">
        <v>3.44</v>
      </c>
      <c r="M166">
        <v>4.87</v>
      </c>
      <c r="N166">
        <v>4.21</v>
      </c>
      <c r="O166" t="s">
        <v>34</v>
      </c>
      <c r="P166" t="s">
        <v>23</v>
      </c>
      <c r="Q166" t="s">
        <v>24</v>
      </c>
    </row>
    <row r="167" spans="1:17" x14ac:dyDescent="0.35">
      <c r="A167">
        <v>166</v>
      </c>
      <c r="B167" t="s">
        <v>17</v>
      </c>
      <c r="C167">
        <v>16</v>
      </c>
      <c r="D167" t="s">
        <v>18</v>
      </c>
      <c r="E167" t="s">
        <v>35</v>
      </c>
      <c r="F167">
        <v>22</v>
      </c>
      <c r="G167">
        <v>0.74</v>
      </c>
      <c r="H167" t="s">
        <v>27</v>
      </c>
      <c r="I167">
        <v>40313</v>
      </c>
      <c r="J167" t="s">
        <v>21</v>
      </c>
      <c r="K167" t="s">
        <v>28</v>
      </c>
      <c r="L167">
        <v>3.16</v>
      </c>
      <c r="M167">
        <v>4.2</v>
      </c>
      <c r="N167">
        <v>4.12</v>
      </c>
      <c r="O167" t="s">
        <v>34</v>
      </c>
      <c r="P167" t="s">
        <v>32</v>
      </c>
      <c r="Q167" t="s">
        <v>24</v>
      </c>
    </row>
    <row r="168" spans="1:17" x14ac:dyDescent="0.35">
      <c r="A168">
        <v>167</v>
      </c>
      <c r="B168" t="s">
        <v>25</v>
      </c>
      <c r="C168">
        <v>15</v>
      </c>
      <c r="D168" t="s">
        <v>33</v>
      </c>
      <c r="E168" t="s">
        <v>19</v>
      </c>
      <c r="F168">
        <v>14</v>
      </c>
      <c r="G168">
        <v>0.91</v>
      </c>
      <c r="H168" t="s">
        <v>27</v>
      </c>
      <c r="I168">
        <v>42535</v>
      </c>
      <c r="J168" t="s">
        <v>21</v>
      </c>
      <c r="K168" t="s">
        <v>21</v>
      </c>
      <c r="L168">
        <v>4.1500000000000004</v>
      </c>
      <c r="M168">
        <v>3.59</v>
      </c>
      <c r="N168">
        <v>3.03</v>
      </c>
      <c r="O168" t="s">
        <v>36</v>
      </c>
      <c r="P168" t="s">
        <v>23</v>
      </c>
      <c r="Q168" t="s">
        <v>29</v>
      </c>
    </row>
    <row r="169" spans="1:17" x14ac:dyDescent="0.35">
      <c r="A169">
        <v>168</v>
      </c>
      <c r="B169" t="s">
        <v>17</v>
      </c>
      <c r="C169">
        <v>16</v>
      </c>
      <c r="D169" t="s">
        <v>18</v>
      </c>
      <c r="E169" t="s">
        <v>35</v>
      </c>
      <c r="F169">
        <v>24</v>
      </c>
      <c r="G169">
        <v>0.8</v>
      </c>
      <c r="H169" t="s">
        <v>20</v>
      </c>
      <c r="I169">
        <v>58899</v>
      </c>
      <c r="J169" t="s">
        <v>28</v>
      </c>
      <c r="K169" t="s">
        <v>28</v>
      </c>
      <c r="L169">
        <v>3.2</v>
      </c>
      <c r="M169">
        <v>4.4000000000000004</v>
      </c>
      <c r="N169">
        <v>3.16</v>
      </c>
      <c r="O169" t="s">
        <v>36</v>
      </c>
      <c r="P169" t="s">
        <v>32</v>
      </c>
      <c r="Q169" t="s">
        <v>29</v>
      </c>
    </row>
    <row r="170" spans="1:17" x14ac:dyDescent="0.35">
      <c r="A170">
        <v>169</v>
      </c>
      <c r="B170" t="s">
        <v>17</v>
      </c>
      <c r="C170">
        <v>17</v>
      </c>
      <c r="D170" t="s">
        <v>30</v>
      </c>
      <c r="E170" t="s">
        <v>19</v>
      </c>
      <c r="F170">
        <v>10</v>
      </c>
      <c r="G170">
        <v>0.64</v>
      </c>
      <c r="H170" t="s">
        <v>20</v>
      </c>
      <c r="I170">
        <v>20770</v>
      </c>
      <c r="J170" t="s">
        <v>21</v>
      </c>
      <c r="K170" t="s">
        <v>21</v>
      </c>
      <c r="L170">
        <v>3.9</v>
      </c>
      <c r="M170">
        <v>4.4000000000000004</v>
      </c>
      <c r="N170">
        <v>4.1500000000000004</v>
      </c>
      <c r="O170" t="s">
        <v>34</v>
      </c>
      <c r="P170" t="s">
        <v>23</v>
      </c>
      <c r="Q170" t="s">
        <v>24</v>
      </c>
    </row>
    <row r="171" spans="1:17" x14ac:dyDescent="0.35">
      <c r="A171">
        <v>170</v>
      </c>
      <c r="B171" t="s">
        <v>25</v>
      </c>
      <c r="C171">
        <v>17</v>
      </c>
      <c r="D171" t="s">
        <v>33</v>
      </c>
      <c r="E171" t="s">
        <v>19</v>
      </c>
      <c r="F171">
        <v>16</v>
      </c>
      <c r="G171">
        <v>0.65</v>
      </c>
      <c r="H171" t="s">
        <v>27</v>
      </c>
      <c r="I171">
        <v>49321</v>
      </c>
      <c r="J171" t="s">
        <v>21</v>
      </c>
      <c r="K171" t="s">
        <v>28</v>
      </c>
      <c r="L171">
        <v>4.88</v>
      </c>
      <c r="M171">
        <v>3.6</v>
      </c>
      <c r="N171">
        <v>4.87</v>
      </c>
      <c r="O171" t="s">
        <v>22</v>
      </c>
      <c r="P171" t="s">
        <v>32</v>
      </c>
      <c r="Q171" t="s">
        <v>29</v>
      </c>
    </row>
    <row r="172" spans="1:17" x14ac:dyDescent="0.35">
      <c r="A172">
        <v>171</v>
      </c>
      <c r="B172" t="s">
        <v>25</v>
      </c>
      <c r="C172">
        <v>18</v>
      </c>
      <c r="D172" t="s">
        <v>37</v>
      </c>
      <c r="E172" t="s">
        <v>35</v>
      </c>
      <c r="F172">
        <v>6</v>
      </c>
      <c r="G172">
        <v>0.97</v>
      </c>
      <c r="H172" t="s">
        <v>40</v>
      </c>
      <c r="I172">
        <v>30426</v>
      </c>
      <c r="J172" t="s">
        <v>28</v>
      </c>
      <c r="K172" t="s">
        <v>21</v>
      </c>
      <c r="L172">
        <v>4.91</v>
      </c>
      <c r="M172">
        <v>4.96</v>
      </c>
      <c r="N172">
        <v>4.7300000000000004</v>
      </c>
      <c r="O172" t="s">
        <v>22</v>
      </c>
      <c r="P172" t="s">
        <v>23</v>
      </c>
      <c r="Q172" t="s">
        <v>29</v>
      </c>
    </row>
    <row r="173" spans="1:17" x14ac:dyDescent="0.35">
      <c r="A173">
        <v>172</v>
      </c>
      <c r="B173" t="s">
        <v>17</v>
      </c>
      <c r="C173">
        <v>17</v>
      </c>
      <c r="D173" t="s">
        <v>30</v>
      </c>
      <c r="E173" t="s">
        <v>35</v>
      </c>
      <c r="F173">
        <v>11</v>
      </c>
      <c r="G173">
        <v>0.81</v>
      </c>
      <c r="H173" t="s">
        <v>40</v>
      </c>
      <c r="I173">
        <v>54327</v>
      </c>
      <c r="J173" t="s">
        <v>28</v>
      </c>
      <c r="K173" t="s">
        <v>28</v>
      </c>
      <c r="L173">
        <v>3.48</v>
      </c>
      <c r="M173">
        <v>4.32</v>
      </c>
      <c r="N173">
        <v>4.97</v>
      </c>
      <c r="O173" t="s">
        <v>22</v>
      </c>
      <c r="P173" t="s">
        <v>23</v>
      </c>
      <c r="Q173" t="s">
        <v>24</v>
      </c>
    </row>
    <row r="174" spans="1:17" x14ac:dyDescent="0.35">
      <c r="A174">
        <v>173</v>
      </c>
      <c r="B174" t="s">
        <v>17</v>
      </c>
      <c r="C174">
        <v>17</v>
      </c>
      <c r="D174" t="s">
        <v>39</v>
      </c>
      <c r="E174" t="s">
        <v>35</v>
      </c>
      <c r="F174">
        <v>20</v>
      </c>
      <c r="G174">
        <v>0.77</v>
      </c>
      <c r="H174" t="s">
        <v>20</v>
      </c>
      <c r="I174">
        <v>51777</v>
      </c>
      <c r="J174" t="s">
        <v>21</v>
      </c>
      <c r="K174" t="s">
        <v>28</v>
      </c>
      <c r="L174">
        <v>4.25</v>
      </c>
      <c r="M174">
        <v>4.34</v>
      </c>
      <c r="N174">
        <v>4.0599999999999996</v>
      </c>
      <c r="O174" t="s">
        <v>34</v>
      </c>
      <c r="P174" t="s">
        <v>32</v>
      </c>
      <c r="Q174" t="s">
        <v>29</v>
      </c>
    </row>
    <row r="175" spans="1:17" x14ac:dyDescent="0.35">
      <c r="A175">
        <v>174</v>
      </c>
      <c r="B175" t="s">
        <v>25</v>
      </c>
      <c r="C175">
        <v>17</v>
      </c>
      <c r="D175" t="s">
        <v>42</v>
      </c>
      <c r="E175" t="s">
        <v>19</v>
      </c>
      <c r="F175">
        <v>7</v>
      </c>
      <c r="G175">
        <v>0.73</v>
      </c>
      <c r="H175" t="s">
        <v>31</v>
      </c>
      <c r="I175">
        <v>56250</v>
      </c>
      <c r="J175" t="s">
        <v>28</v>
      </c>
      <c r="K175" t="s">
        <v>28</v>
      </c>
      <c r="L175">
        <v>3.95</v>
      </c>
      <c r="M175">
        <v>4.28</v>
      </c>
      <c r="N175">
        <v>4.58</v>
      </c>
      <c r="O175" t="s">
        <v>22</v>
      </c>
      <c r="P175" t="s">
        <v>23</v>
      </c>
      <c r="Q175" t="s">
        <v>24</v>
      </c>
    </row>
    <row r="176" spans="1:17" x14ac:dyDescent="0.35">
      <c r="A176">
        <v>175</v>
      </c>
      <c r="B176" t="s">
        <v>25</v>
      </c>
      <c r="C176">
        <v>15</v>
      </c>
      <c r="D176" t="s">
        <v>41</v>
      </c>
      <c r="E176" t="s">
        <v>35</v>
      </c>
      <c r="F176">
        <v>17</v>
      </c>
      <c r="G176">
        <v>0.69</v>
      </c>
      <c r="H176" t="s">
        <v>40</v>
      </c>
      <c r="I176">
        <v>17498</v>
      </c>
      <c r="J176" t="s">
        <v>21</v>
      </c>
      <c r="K176" t="s">
        <v>28</v>
      </c>
      <c r="L176">
        <v>4.75</v>
      </c>
      <c r="M176">
        <v>4.42</v>
      </c>
      <c r="N176">
        <v>4.68</v>
      </c>
      <c r="O176" t="s">
        <v>22</v>
      </c>
      <c r="P176" t="s">
        <v>32</v>
      </c>
      <c r="Q176" t="s">
        <v>29</v>
      </c>
    </row>
    <row r="177" spans="1:17" x14ac:dyDescent="0.35">
      <c r="A177">
        <v>176</v>
      </c>
      <c r="B177" t="s">
        <v>25</v>
      </c>
      <c r="C177">
        <v>17</v>
      </c>
      <c r="D177" t="s">
        <v>18</v>
      </c>
      <c r="E177" t="s">
        <v>19</v>
      </c>
      <c r="F177">
        <v>7</v>
      </c>
      <c r="G177">
        <v>0.72</v>
      </c>
      <c r="H177" t="s">
        <v>20</v>
      </c>
      <c r="I177">
        <v>49404</v>
      </c>
      <c r="J177" t="s">
        <v>21</v>
      </c>
      <c r="K177" t="s">
        <v>28</v>
      </c>
      <c r="L177">
        <v>3.54</v>
      </c>
      <c r="M177">
        <v>3.9</v>
      </c>
      <c r="N177">
        <v>4.3</v>
      </c>
      <c r="O177" t="s">
        <v>34</v>
      </c>
      <c r="P177" t="s">
        <v>23</v>
      </c>
      <c r="Q177" t="s">
        <v>24</v>
      </c>
    </row>
    <row r="178" spans="1:17" x14ac:dyDescent="0.35">
      <c r="A178">
        <v>177</v>
      </c>
      <c r="B178" t="s">
        <v>17</v>
      </c>
      <c r="C178">
        <v>17</v>
      </c>
      <c r="D178" t="s">
        <v>26</v>
      </c>
      <c r="E178" t="s">
        <v>19</v>
      </c>
      <c r="F178">
        <v>22</v>
      </c>
      <c r="G178">
        <v>0.9</v>
      </c>
      <c r="H178" t="s">
        <v>40</v>
      </c>
      <c r="I178">
        <v>50130</v>
      </c>
      <c r="J178" t="s">
        <v>28</v>
      </c>
      <c r="K178" t="s">
        <v>21</v>
      </c>
      <c r="L178">
        <v>3.01</v>
      </c>
      <c r="M178">
        <v>3.93</v>
      </c>
      <c r="N178">
        <v>3.68</v>
      </c>
      <c r="O178" t="s">
        <v>34</v>
      </c>
      <c r="P178" t="s">
        <v>32</v>
      </c>
      <c r="Q178" t="s">
        <v>24</v>
      </c>
    </row>
    <row r="179" spans="1:17" x14ac:dyDescent="0.35">
      <c r="A179">
        <v>178</v>
      </c>
      <c r="B179" t="s">
        <v>17</v>
      </c>
      <c r="C179">
        <v>18</v>
      </c>
      <c r="D179" t="s">
        <v>26</v>
      </c>
      <c r="E179" t="s">
        <v>35</v>
      </c>
      <c r="F179">
        <v>15</v>
      </c>
      <c r="G179">
        <v>0.89</v>
      </c>
      <c r="H179" t="s">
        <v>31</v>
      </c>
      <c r="I179">
        <v>26395</v>
      </c>
      <c r="J179" t="s">
        <v>21</v>
      </c>
      <c r="K179" t="s">
        <v>21</v>
      </c>
      <c r="L179">
        <v>3.33</v>
      </c>
      <c r="M179">
        <v>4.2699999999999996</v>
      </c>
      <c r="N179">
        <v>3.94</v>
      </c>
      <c r="O179" t="s">
        <v>34</v>
      </c>
      <c r="P179" t="s">
        <v>32</v>
      </c>
      <c r="Q179" t="s">
        <v>24</v>
      </c>
    </row>
    <row r="180" spans="1:17" x14ac:dyDescent="0.35">
      <c r="A180">
        <v>179</v>
      </c>
      <c r="B180" t="s">
        <v>17</v>
      </c>
      <c r="C180">
        <v>17</v>
      </c>
      <c r="D180" t="s">
        <v>37</v>
      </c>
      <c r="E180" t="s">
        <v>35</v>
      </c>
      <c r="F180">
        <v>12</v>
      </c>
      <c r="G180">
        <v>0.62</v>
      </c>
      <c r="H180" t="s">
        <v>20</v>
      </c>
      <c r="I180">
        <v>59346</v>
      </c>
      <c r="J180" t="s">
        <v>21</v>
      </c>
      <c r="K180" t="s">
        <v>28</v>
      </c>
      <c r="L180">
        <v>3.7</v>
      </c>
      <c r="M180">
        <v>4.71</v>
      </c>
      <c r="N180">
        <v>4.72</v>
      </c>
      <c r="O180" t="s">
        <v>22</v>
      </c>
      <c r="P180" t="s">
        <v>23</v>
      </c>
      <c r="Q180" t="s">
        <v>24</v>
      </c>
    </row>
    <row r="181" spans="1:17" x14ac:dyDescent="0.35">
      <c r="A181">
        <v>180</v>
      </c>
      <c r="B181" t="s">
        <v>17</v>
      </c>
      <c r="C181">
        <v>17</v>
      </c>
      <c r="D181" t="s">
        <v>33</v>
      </c>
      <c r="E181" t="s">
        <v>35</v>
      </c>
      <c r="F181">
        <v>10</v>
      </c>
      <c r="G181">
        <v>0.89</v>
      </c>
      <c r="H181" t="s">
        <v>31</v>
      </c>
      <c r="I181">
        <v>12537</v>
      </c>
      <c r="J181" t="s">
        <v>21</v>
      </c>
      <c r="K181" t="s">
        <v>28</v>
      </c>
      <c r="L181">
        <v>3.63</v>
      </c>
      <c r="M181">
        <v>3.57</v>
      </c>
      <c r="N181">
        <v>3.6</v>
      </c>
      <c r="O181" t="s">
        <v>34</v>
      </c>
      <c r="P181" t="s">
        <v>23</v>
      </c>
      <c r="Q181" t="s">
        <v>29</v>
      </c>
    </row>
    <row r="182" spans="1:17" x14ac:dyDescent="0.35">
      <c r="A182">
        <v>181</v>
      </c>
      <c r="B182" t="s">
        <v>17</v>
      </c>
      <c r="C182">
        <v>16</v>
      </c>
      <c r="D182" t="s">
        <v>26</v>
      </c>
      <c r="E182" t="s">
        <v>35</v>
      </c>
      <c r="F182">
        <v>5</v>
      </c>
      <c r="G182">
        <v>0.65</v>
      </c>
      <c r="H182" t="s">
        <v>20</v>
      </c>
      <c r="I182">
        <v>29226</v>
      </c>
      <c r="J182" t="s">
        <v>28</v>
      </c>
      <c r="K182" t="s">
        <v>28</v>
      </c>
      <c r="L182">
        <v>4.58</v>
      </c>
      <c r="M182">
        <v>4.41</v>
      </c>
      <c r="N182">
        <v>4.8499999999999996</v>
      </c>
      <c r="O182" t="s">
        <v>22</v>
      </c>
      <c r="P182" t="s">
        <v>23</v>
      </c>
      <c r="Q182" t="s">
        <v>24</v>
      </c>
    </row>
    <row r="183" spans="1:17" x14ac:dyDescent="0.35">
      <c r="A183">
        <v>182</v>
      </c>
      <c r="B183" t="s">
        <v>17</v>
      </c>
      <c r="C183">
        <v>18</v>
      </c>
      <c r="D183" t="s">
        <v>39</v>
      </c>
      <c r="E183" t="s">
        <v>35</v>
      </c>
      <c r="F183">
        <v>5</v>
      </c>
      <c r="G183">
        <v>0.88</v>
      </c>
      <c r="H183" t="s">
        <v>31</v>
      </c>
      <c r="I183">
        <v>25216</v>
      </c>
      <c r="J183" t="s">
        <v>28</v>
      </c>
      <c r="K183" t="s">
        <v>21</v>
      </c>
      <c r="L183">
        <v>4.3600000000000003</v>
      </c>
      <c r="M183">
        <v>4.71</v>
      </c>
      <c r="N183">
        <v>3.46</v>
      </c>
      <c r="O183" t="s">
        <v>36</v>
      </c>
      <c r="P183" t="s">
        <v>23</v>
      </c>
      <c r="Q183" t="s">
        <v>29</v>
      </c>
    </row>
    <row r="184" spans="1:17" x14ac:dyDescent="0.35">
      <c r="A184">
        <v>183</v>
      </c>
      <c r="B184" t="s">
        <v>25</v>
      </c>
      <c r="C184">
        <v>18</v>
      </c>
      <c r="D184" t="s">
        <v>18</v>
      </c>
      <c r="E184" t="s">
        <v>35</v>
      </c>
      <c r="F184">
        <v>27</v>
      </c>
      <c r="G184">
        <v>0.67</v>
      </c>
      <c r="H184" t="s">
        <v>40</v>
      </c>
      <c r="I184">
        <v>28613</v>
      </c>
      <c r="J184" t="s">
        <v>28</v>
      </c>
      <c r="K184" t="s">
        <v>21</v>
      </c>
      <c r="L184">
        <v>3.6</v>
      </c>
      <c r="M184">
        <v>3.74</v>
      </c>
      <c r="N184">
        <v>4.5</v>
      </c>
      <c r="O184" t="s">
        <v>22</v>
      </c>
      <c r="P184" t="s">
        <v>32</v>
      </c>
      <c r="Q184" t="s">
        <v>24</v>
      </c>
    </row>
    <row r="185" spans="1:17" x14ac:dyDescent="0.35">
      <c r="A185">
        <v>184</v>
      </c>
      <c r="B185" t="s">
        <v>17</v>
      </c>
      <c r="C185">
        <v>18</v>
      </c>
      <c r="D185" t="s">
        <v>30</v>
      </c>
      <c r="E185" t="s">
        <v>19</v>
      </c>
      <c r="F185">
        <v>12</v>
      </c>
      <c r="G185">
        <v>0.92</v>
      </c>
      <c r="H185" t="s">
        <v>40</v>
      </c>
      <c r="I185">
        <v>13009</v>
      </c>
      <c r="J185" t="s">
        <v>28</v>
      </c>
      <c r="K185" t="s">
        <v>28</v>
      </c>
      <c r="L185">
        <v>3.92</v>
      </c>
      <c r="M185">
        <v>3.52</v>
      </c>
      <c r="N185">
        <v>4.26</v>
      </c>
      <c r="O185" t="s">
        <v>34</v>
      </c>
      <c r="P185" t="s">
        <v>23</v>
      </c>
      <c r="Q185" t="s">
        <v>24</v>
      </c>
    </row>
    <row r="186" spans="1:17" x14ac:dyDescent="0.35">
      <c r="A186">
        <v>185</v>
      </c>
      <c r="B186" t="s">
        <v>17</v>
      </c>
      <c r="C186">
        <v>18</v>
      </c>
      <c r="D186" t="s">
        <v>39</v>
      </c>
      <c r="E186" t="s">
        <v>19</v>
      </c>
      <c r="F186">
        <v>9</v>
      </c>
      <c r="G186">
        <v>0.76</v>
      </c>
      <c r="H186" t="s">
        <v>31</v>
      </c>
      <c r="I186">
        <v>34368</v>
      </c>
      <c r="J186" t="s">
        <v>21</v>
      </c>
      <c r="K186" t="s">
        <v>21</v>
      </c>
      <c r="L186">
        <v>3.19</v>
      </c>
      <c r="M186">
        <v>3.97</v>
      </c>
      <c r="N186">
        <v>4.5</v>
      </c>
      <c r="O186" t="s">
        <v>22</v>
      </c>
      <c r="P186" t="s">
        <v>23</v>
      </c>
      <c r="Q186" t="s">
        <v>24</v>
      </c>
    </row>
    <row r="187" spans="1:17" x14ac:dyDescent="0.35">
      <c r="A187">
        <v>186</v>
      </c>
      <c r="B187" t="s">
        <v>17</v>
      </c>
      <c r="C187">
        <v>18</v>
      </c>
      <c r="D187" t="s">
        <v>37</v>
      </c>
      <c r="E187" t="s">
        <v>19</v>
      </c>
      <c r="F187">
        <v>20</v>
      </c>
      <c r="G187">
        <v>0.7</v>
      </c>
      <c r="H187" t="s">
        <v>31</v>
      </c>
      <c r="I187">
        <v>39327</v>
      </c>
      <c r="J187" t="s">
        <v>28</v>
      </c>
      <c r="K187" t="s">
        <v>28</v>
      </c>
      <c r="L187">
        <v>4.8</v>
      </c>
      <c r="M187">
        <v>4.38</v>
      </c>
      <c r="N187">
        <v>3.87</v>
      </c>
      <c r="O187" t="s">
        <v>34</v>
      </c>
      <c r="P187" t="s">
        <v>32</v>
      </c>
      <c r="Q187" t="s">
        <v>29</v>
      </c>
    </row>
    <row r="188" spans="1:17" x14ac:dyDescent="0.35">
      <c r="A188">
        <v>187</v>
      </c>
      <c r="B188" t="s">
        <v>25</v>
      </c>
      <c r="C188">
        <v>18</v>
      </c>
      <c r="D188" t="s">
        <v>39</v>
      </c>
      <c r="E188" t="s">
        <v>35</v>
      </c>
      <c r="F188">
        <v>15</v>
      </c>
      <c r="G188">
        <v>0.72</v>
      </c>
      <c r="H188" t="s">
        <v>31</v>
      </c>
      <c r="I188">
        <v>24209</v>
      </c>
      <c r="J188" t="s">
        <v>28</v>
      </c>
      <c r="K188" t="s">
        <v>28</v>
      </c>
      <c r="L188">
        <v>4.87</v>
      </c>
      <c r="M188">
        <v>3.71</v>
      </c>
      <c r="N188">
        <v>4.87</v>
      </c>
      <c r="O188" t="s">
        <v>22</v>
      </c>
      <c r="P188" t="s">
        <v>32</v>
      </c>
      <c r="Q188" t="s">
        <v>38</v>
      </c>
    </row>
    <row r="189" spans="1:17" x14ac:dyDescent="0.35">
      <c r="A189">
        <v>188</v>
      </c>
      <c r="B189" t="s">
        <v>17</v>
      </c>
      <c r="C189">
        <v>15</v>
      </c>
      <c r="D189" t="s">
        <v>30</v>
      </c>
      <c r="E189" t="s">
        <v>19</v>
      </c>
      <c r="F189">
        <v>9</v>
      </c>
      <c r="G189">
        <v>0.7</v>
      </c>
      <c r="H189" t="s">
        <v>20</v>
      </c>
      <c r="I189">
        <v>58443</v>
      </c>
      <c r="J189" t="s">
        <v>28</v>
      </c>
      <c r="K189" t="s">
        <v>28</v>
      </c>
      <c r="L189">
        <v>4.96</v>
      </c>
      <c r="M189">
        <v>4.1399999999999997</v>
      </c>
      <c r="N189">
        <v>4.26</v>
      </c>
      <c r="O189" t="s">
        <v>34</v>
      </c>
      <c r="P189" t="s">
        <v>23</v>
      </c>
      <c r="Q189" t="s">
        <v>29</v>
      </c>
    </row>
    <row r="190" spans="1:17" x14ac:dyDescent="0.35">
      <c r="A190">
        <v>189</v>
      </c>
      <c r="B190" t="s">
        <v>17</v>
      </c>
      <c r="C190">
        <v>17</v>
      </c>
      <c r="D190" t="s">
        <v>42</v>
      </c>
      <c r="E190" t="s">
        <v>19</v>
      </c>
      <c r="F190">
        <v>8</v>
      </c>
      <c r="G190">
        <v>0.9</v>
      </c>
      <c r="H190" t="s">
        <v>40</v>
      </c>
      <c r="I190">
        <v>25029</v>
      </c>
      <c r="J190" t="s">
        <v>28</v>
      </c>
      <c r="K190" t="s">
        <v>21</v>
      </c>
      <c r="L190">
        <v>4.74</v>
      </c>
      <c r="M190">
        <v>4.33</v>
      </c>
      <c r="N190">
        <v>3.58</v>
      </c>
      <c r="O190" t="s">
        <v>34</v>
      </c>
      <c r="P190" t="s">
        <v>23</v>
      </c>
      <c r="Q190" t="s">
        <v>29</v>
      </c>
    </row>
    <row r="191" spans="1:17" x14ac:dyDescent="0.35">
      <c r="A191">
        <v>190</v>
      </c>
      <c r="B191" t="s">
        <v>25</v>
      </c>
      <c r="C191">
        <v>18</v>
      </c>
      <c r="D191" t="s">
        <v>37</v>
      </c>
      <c r="E191" t="s">
        <v>19</v>
      </c>
      <c r="F191">
        <v>10</v>
      </c>
      <c r="G191">
        <v>0.87</v>
      </c>
      <c r="H191" t="s">
        <v>20</v>
      </c>
      <c r="I191">
        <v>12077</v>
      </c>
      <c r="J191" t="s">
        <v>21</v>
      </c>
      <c r="K191" t="s">
        <v>28</v>
      </c>
      <c r="L191">
        <v>3.35</v>
      </c>
      <c r="M191">
        <v>4.4000000000000004</v>
      </c>
      <c r="N191">
        <v>4.28</v>
      </c>
      <c r="O191" t="s">
        <v>34</v>
      </c>
      <c r="P191" t="s">
        <v>23</v>
      </c>
      <c r="Q191" t="s">
        <v>24</v>
      </c>
    </row>
    <row r="192" spans="1:17" x14ac:dyDescent="0.35">
      <c r="A192">
        <v>191</v>
      </c>
      <c r="B192" t="s">
        <v>17</v>
      </c>
      <c r="C192">
        <v>17</v>
      </c>
      <c r="D192" t="s">
        <v>42</v>
      </c>
      <c r="E192" t="s">
        <v>19</v>
      </c>
      <c r="F192">
        <v>18</v>
      </c>
      <c r="G192">
        <v>0.65</v>
      </c>
      <c r="H192" t="s">
        <v>40</v>
      </c>
      <c r="I192">
        <v>23907</v>
      </c>
      <c r="J192" t="s">
        <v>21</v>
      </c>
      <c r="K192" t="s">
        <v>28</v>
      </c>
      <c r="L192">
        <v>3.09</v>
      </c>
      <c r="M192">
        <v>3.91</v>
      </c>
      <c r="N192">
        <v>3.57</v>
      </c>
      <c r="O192" t="s">
        <v>34</v>
      </c>
      <c r="P192" t="s">
        <v>32</v>
      </c>
      <c r="Q192" t="s">
        <v>24</v>
      </c>
    </row>
    <row r="193" spans="1:17" x14ac:dyDescent="0.35">
      <c r="A193">
        <v>192</v>
      </c>
      <c r="B193" t="s">
        <v>17</v>
      </c>
      <c r="C193">
        <v>17</v>
      </c>
      <c r="D193" t="s">
        <v>41</v>
      </c>
      <c r="E193" t="s">
        <v>19</v>
      </c>
      <c r="F193">
        <v>26</v>
      </c>
      <c r="G193">
        <v>0.75</v>
      </c>
      <c r="H193" t="s">
        <v>27</v>
      </c>
      <c r="I193">
        <v>46635</v>
      </c>
      <c r="J193" t="s">
        <v>21</v>
      </c>
      <c r="K193" t="s">
        <v>28</v>
      </c>
      <c r="L193">
        <v>4.16</v>
      </c>
      <c r="M193">
        <v>4.0999999999999996</v>
      </c>
      <c r="N193">
        <v>3.59</v>
      </c>
      <c r="O193" t="s">
        <v>34</v>
      </c>
      <c r="P193" t="s">
        <v>32</v>
      </c>
      <c r="Q193" t="s">
        <v>29</v>
      </c>
    </row>
    <row r="194" spans="1:17" x14ac:dyDescent="0.35">
      <c r="A194">
        <v>193</v>
      </c>
      <c r="B194" t="s">
        <v>17</v>
      </c>
      <c r="C194">
        <v>15</v>
      </c>
      <c r="D194" t="s">
        <v>42</v>
      </c>
      <c r="E194" t="s">
        <v>35</v>
      </c>
      <c r="F194">
        <v>23</v>
      </c>
      <c r="G194">
        <v>0.63</v>
      </c>
      <c r="H194" t="s">
        <v>20</v>
      </c>
      <c r="I194">
        <v>58920</v>
      </c>
      <c r="J194" t="s">
        <v>28</v>
      </c>
      <c r="K194" t="s">
        <v>21</v>
      </c>
      <c r="L194">
        <v>4.83</v>
      </c>
      <c r="M194">
        <v>4.67</v>
      </c>
      <c r="N194">
        <v>3.8</v>
      </c>
      <c r="O194" t="s">
        <v>34</v>
      </c>
      <c r="P194" t="s">
        <v>32</v>
      </c>
      <c r="Q194" t="s">
        <v>29</v>
      </c>
    </row>
    <row r="195" spans="1:17" x14ac:dyDescent="0.35">
      <c r="A195">
        <v>194</v>
      </c>
      <c r="B195" t="s">
        <v>17</v>
      </c>
      <c r="C195">
        <v>18</v>
      </c>
      <c r="D195" t="s">
        <v>41</v>
      </c>
      <c r="E195" t="s">
        <v>35</v>
      </c>
      <c r="F195">
        <v>13</v>
      </c>
      <c r="G195">
        <v>0.94</v>
      </c>
      <c r="H195" t="s">
        <v>40</v>
      </c>
      <c r="I195">
        <v>14873</v>
      </c>
      <c r="J195" t="s">
        <v>28</v>
      </c>
      <c r="K195" t="s">
        <v>21</v>
      </c>
      <c r="L195">
        <v>3.35</v>
      </c>
      <c r="M195">
        <v>4.91</v>
      </c>
      <c r="N195">
        <v>4.7</v>
      </c>
      <c r="O195" t="s">
        <v>22</v>
      </c>
      <c r="P195" t="s">
        <v>23</v>
      </c>
      <c r="Q195" t="s">
        <v>24</v>
      </c>
    </row>
    <row r="196" spans="1:17" x14ac:dyDescent="0.35">
      <c r="A196">
        <v>195</v>
      </c>
      <c r="B196" t="s">
        <v>17</v>
      </c>
      <c r="C196">
        <v>16</v>
      </c>
      <c r="D196" t="s">
        <v>41</v>
      </c>
      <c r="E196" t="s">
        <v>19</v>
      </c>
      <c r="F196">
        <v>16</v>
      </c>
      <c r="G196">
        <v>0.85</v>
      </c>
      <c r="H196" t="s">
        <v>40</v>
      </c>
      <c r="I196">
        <v>18635</v>
      </c>
      <c r="J196" t="s">
        <v>21</v>
      </c>
      <c r="K196" t="s">
        <v>21</v>
      </c>
      <c r="L196">
        <v>3.01</v>
      </c>
      <c r="M196">
        <v>4.79</v>
      </c>
      <c r="N196">
        <v>4</v>
      </c>
      <c r="O196" t="s">
        <v>34</v>
      </c>
      <c r="P196" t="s">
        <v>32</v>
      </c>
      <c r="Q196" t="s">
        <v>24</v>
      </c>
    </row>
    <row r="197" spans="1:17" x14ac:dyDescent="0.35">
      <c r="A197">
        <v>196</v>
      </c>
      <c r="B197" t="s">
        <v>25</v>
      </c>
      <c r="C197">
        <v>15</v>
      </c>
      <c r="D197" t="s">
        <v>42</v>
      </c>
      <c r="E197" t="s">
        <v>19</v>
      </c>
      <c r="F197">
        <v>15</v>
      </c>
      <c r="G197">
        <v>0.71</v>
      </c>
      <c r="H197" t="s">
        <v>20</v>
      </c>
      <c r="I197">
        <v>43065</v>
      </c>
      <c r="J197" t="s">
        <v>28</v>
      </c>
      <c r="K197" t="s">
        <v>28</v>
      </c>
      <c r="L197">
        <v>4.6100000000000003</v>
      </c>
      <c r="M197">
        <v>4.3499999999999996</v>
      </c>
      <c r="N197">
        <v>4.3600000000000003</v>
      </c>
      <c r="O197" t="s">
        <v>34</v>
      </c>
      <c r="P197" t="s">
        <v>32</v>
      </c>
      <c r="Q197" t="s">
        <v>29</v>
      </c>
    </row>
    <row r="198" spans="1:17" x14ac:dyDescent="0.35">
      <c r="A198">
        <v>197</v>
      </c>
      <c r="B198" t="s">
        <v>25</v>
      </c>
      <c r="C198">
        <v>16</v>
      </c>
      <c r="D198" t="s">
        <v>37</v>
      </c>
      <c r="E198" t="s">
        <v>19</v>
      </c>
      <c r="F198">
        <v>18</v>
      </c>
      <c r="G198">
        <v>0.7</v>
      </c>
      <c r="H198" t="s">
        <v>20</v>
      </c>
      <c r="I198">
        <v>55863</v>
      </c>
      <c r="J198" t="s">
        <v>28</v>
      </c>
      <c r="K198" t="s">
        <v>21</v>
      </c>
      <c r="L198">
        <v>3.15</v>
      </c>
      <c r="M198">
        <v>4.12</v>
      </c>
      <c r="N198">
        <v>3.78</v>
      </c>
      <c r="O198" t="s">
        <v>34</v>
      </c>
      <c r="P198" t="s">
        <v>32</v>
      </c>
      <c r="Q198" t="s">
        <v>24</v>
      </c>
    </row>
    <row r="199" spans="1:17" x14ac:dyDescent="0.35">
      <c r="A199">
        <v>198</v>
      </c>
      <c r="B199" t="s">
        <v>25</v>
      </c>
      <c r="C199">
        <v>17</v>
      </c>
      <c r="D199" t="s">
        <v>33</v>
      </c>
      <c r="E199" t="s">
        <v>35</v>
      </c>
      <c r="F199">
        <v>27</v>
      </c>
      <c r="G199">
        <v>0.96</v>
      </c>
      <c r="H199" t="s">
        <v>40</v>
      </c>
      <c r="I199">
        <v>51804</v>
      </c>
      <c r="J199" t="s">
        <v>21</v>
      </c>
      <c r="K199" t="s">
        <v>28</v>
      </c>
      <c r="L199">
        <v>3.83</v>
      </c>
      <c r="M199">
        <v>4</v>
      </c>
      <c r="N199">
        <v>3.53</v>
      </c>
      <c r="O199" t="s">
        <v>34</v>
      </c>
      <c r="P199" t="s">
        <v>32</v>
      </c>
      <c r="Q199" t="s">
        <v>29</v>
      </c>
    </row>
    <row r="200" spans="1:17" x14ac:dyDescent="0.35">
      <c r="A200">
        <v>199</v>
      </c>
      <c r="B200" t="s">
        <v>17</v>
      </c>
      <c r="C200">
        <v>17</v>
      </c>
      <c r="D200" t="s">
        <v>30</v>
      </c>
      <c r="E200" t="s">
        <v>35</v>
      </c>
      <c r="F200">
        <v>20</v>
      </c>
      <c r="G200">
        <v>0.84</v>
      </c>
      <c r="H200" t="s">
        <v>20</v>
      </c>
      <c r="I200">
        <v>43783</v>
      </c>
      <c r="J200" t="s">
        <v>21</v>
      </c>
      <c r="K200" t="s">
        <v>21</v>
      </c>
      <c r="L200">
        <v>4.3600000000000003</v>
      </c>
      <c r="M200">
        <v>3.69</v>
      </c>
      <c r="N200">
        <v>4.91</v>
      </c>
      <c r="O200" t="s">
        <v>22</v>
      </c>
      <c r="P200" t="s">
        <v>32</v>
      </c>
      <c r="Q200" t="s">
        <v>24</v>
      </c>
    </row>
    <row r="201" spans="1:17" x14ac:dyDescent="0.35">
      <c r="A201">
        <v>200</v>
      </c>
      <c r="B201" t="s">
        <v>17</v>
      </c>
      <c r="C201">
        <v>15</v>
      </c>
      <c r="D201" t="s">
        <v>39</v>
      </c>
      <c r="E201" t="s">
        <v>19</v>
      </c>
      <c r="F201">
        <v>5</v>
      </c>
      <c r="G201">
        <v>0.77</v>
      </c>
      <c r="H201" t="s">
        <v>31</v>
      </c>
      <c r="I201">
        <v>44152</v>
      </c>
      <c r="J201" t="s">
        <v>28</v>
      </c>
      <c r="K201" t="s">
        <v>28</v>
      </c>
      <c r="L201">
        <v>3.47</v>
      </c>
      <c r="M201">
        <v>3.66</v>
      </c>
      <c r="N201">
        <v>4.21</v>
      </c>
      <c r="O201" t="s">
        <v>34</v>
      </c>
      <c r="P201" t="s">
        <v>23</v>
      </c>
      <c r="Q201" t="s">
        <v>24</v>
      </c>
    </row>
    <row r="202" spans="1:17" x14ac:dyDescent="0.35">
      <c r="A202">
        <v>201</v>
      </c>
      <c r="B202" t="s">
        <v>17</v>
      </c>
      <c r="C202">
        <v>15</v>
      </c>
      <c r="D202" t="s">
        <v>39</v>
      </c>
      <c r="E202" t="s">
        <v>35</v>
      </c>
      <c r="F202">
        <v>17</v>
      </c>
      <c r="G202">
        <v>0.78</v>
      </c>
      <c r="H202" t="s">
        <v>20</v>
      </c>
      <c r="I202">
        <v>51513</v>
      </c>
      <c r="J202" t="s">
        <v>28</v>
      </c>
      <c r="K202" t="s">
        <v>21</v>
      </c>
      <c r="L202">
        <v>3.17</v>
      </c>
      <c r="M202">
        <v>4.53</v>
      </c>
      <c r="N202">
        <v>4.87</v>
      </c>
      <c r="O202" t="s">
        <v>22</v>
      </c>
      <c r="P202" t="s">
        <v>32</v>
      </c>
      <c r="Q202" t="s">
        <v>24</v>
      </c>
    </row>
    <row r="203" spans="1:17" x14ac:dyDescent="0.35">
      <c r="A203">
        <v>202</v>
      </c>
      <c r="B203" t="s">
        <v>25</v>
      </c>
      <c r="C203">
        <v>16</v>
      </c>
      <c r="D203" t="s">
        <v>30</v>
      </c>
      <c r="E203" t="s">
        <v>35</v>
      </c>
      <c r="F203">
        <v>27</v>
      </c>
      <c r="G203">
        <v>0.82</v>
      </c>
      <c r="H203" t="s">
        <v>20</v>
      </c>
      <c r="I203">
        <v>39092</v>
      </c>
      <c r="J203" t="s">
        <v>28</v>
      </c>
      <c r="K203" t="s">
        <v>28</v>
      </c>
      <c r="L203">
        <v>4.54</v>
      </c>
      <c r="M203">
        <v>3.89</v>
      </c>
      <c r="N203">
        <v>3.41</v>
      </c>
      <c r="O203" t="s">
        <v>36</v>
      </c>
      <c r="P203" t="s">
        <v>32</v>
      </c>
      <c r="Q203" t="s">
        <v>29</v>
      </c>
    </row>
    <row r="204" spans="1:17" x14ac:dyDescent="0.35">
      <c r="A204">
        <v>203</v>
      </c>
      <c r="B204" t="s">
        <v>17</v>
      </c>
      <c r="C204">
        <v>18</v>
      </c>
      <c r="D204" t="s">
        <v>18</v>
      </c>
      <c r="E204" t="s">
        <v>19</v>
      </c>
      <c r="F204">
        <v>25</v>
      </c>
      <c r="G204">
        <v>0.97</v>
      </c>
      <c r="H204" t="s">
        <v>20</v>
      </c>
      <c r="I204">
        <v>27653</v>
      </c>
      <c r="J204" t="s">
        <v>21</v>
      </c>
      <c r="K204" t="s">
        <v>21</v>
      </c>
      <c r="L204">
        <v>4.26</v>
      </c>
      <c r="M204">
        <v>3.88</v>
      </c>
      <c r="N204">
        <v>3.29</v>
      </c>
      <c r="O204" t="s">
        <v>36</v>
      </c>
      <c r="P204" t="s">
        <v>32</v>
      </c>
      <c r="Q204" t="s">
        <v>29</v>
      </c>
    </row>
    <row r="205" spans="1:17" x14ac:dyDescent="0.35">
      <c r="A205">
        <v>204</v>
      </c>
      <c r="B205" t="s">
        <v>17</v>
      </c>
      <c r="C205">
        <v>16</v>
      </c>
      <c r="D205" t="s">
        <v>18</v>
      </c>
      <c r="E205" t="s">
        <v>35</v>
      </c>
      <c r="F205">
        <v>25</v>
      </c>
      <c r="G205">
        <v>0.77</v>
      </c>
      <c r="H205" t="s">
        <v>40</v>
      </c>
      <c r="I205">
        <v>42463</v>
      </c>
      <c r="J205" t="s">
        <v>21</v>
      </c>
      <c r="K205" t="s">
        <v>21</v>
      </c>
      <c r="L205">
        <v>4.9800000000000004</v>
      </c>
      <c r="M205">
        <v>5</v>
      </c>
      <c r="N205">
        <v>4.71</v>
      </c>
      <c r="O205" t="s">
        <v>22</v>
      </c>
      <c r="P205" t="s">
        <v>32</v>
      </c>
      <c r="Q205" t="s">
        <v>29</v>
      </c>
    </row>
    <row r="206" spans="1:17" x14ac:dyDescent="0.35">
      <c r="A206">
        <v>205</v>
      </c>
      <c r="B206" t="s">
        <v>25</v>
      </c>
      <c r="C206">
        <v>15</v>
      </c>
      <c r="D206" t="s">
        <v>41</v>
      </c>
      <c r="E206" t="s">
        <v>35</v>
      </c>
      <c r="F206">
        <v>17</v>
      </c>
      <c r="G206">
        <v>0.85</v>
      </c>
      <c r="H206" t="s">
        <v>31</v>
      </c>
      <c r="I206">
        <v>44028</v>
      </c>
      <c r="J206" t="s">
        <v>21</v>
      </c>
      <c r="K206" t="s">
        <v>21</v>
      </c>
      <c r="L206">
        <v>3.69</v>
      </c>
      <c r="M206">
        <v>3.78</v>
      </c>
      <c r="N206">
        <v>4.3600000000000003</v>
      </c>
      <c r="O206" t="s">
        <v>34</v>
      </c>
      <c r="P206" t="s">
        <v>32</v>
      </c>
      <c r="Q206" t="s">
        <v>24</v>
      </c>
    </row>
    <row r="207" spans="1:17" x14ac:dyDescent="0.35">
      <c r="A207">
        <v>206</v>
      </c>
      <c r="B207" t="s">
        <v>17</v>
      </c>
      <c r="C207">
        <v>16</v>
      </c>
      <c r="D207" t="s">
        <v>41</v>
      </c>
      <c r="E207" t="s">
        <v>19</v>
      </c>
      <c r="F207">
        <v>6</v>
      </c>
      <c r="G207">
        <v>0.65</v>
      </c>
      <c r="H207" t="s">
        <v>27</v>
      </c>
      <c r="I207">
        <v>50469</v>
      </c>
      <c r="J207" t="s">
        <v>21</v>
      </c>
      <c r="K207" t="s">
        <v>28</v>
      </c>
      <c r="L207">
        <v>3.12</v>
      </c>
      <c r="M207">
        <v>3.72</v>
      </c>
      <c r="N207">
        <v>3.37</v>
      </c>
      <c r="O207" t="s">
        <v>36</v>
      </c>
      <c r="P207" t="s">
        <v>23</v>
      </c>
      <c r="Q207" t="s">
        <v>24</v>
      </c>
    </row>
    <row r="208" spans="1:17" x14ac:dyDescent="0.35">
      <c r="A208">
        <v>207</v>
      </c>
      <c r="B208" t="s">
        <v>25</v>
      </c>
      <c r="C208">
        <v>15</v>
      </c>
      <c r="D208" t="s">
        <v>37</v>
      </c>
      <c r="E208" t="s">
        <v>35</v>
      </c>
      <c r="F208">
        <v>8</v>
      </c>
      <c r="G208">
        <v>0.63</v>
      </c>
      <c r="H208" t="s">
        <v>27</v>
      </c>
      <c r="I208">
        <v>30947</v>
      </c>
      <c r="J208" t="s">
        <v>28</v>
      </c>
      <c r="K208" t="s">
        <v>21</v>
      </c>
      <c r="L208">
        <v>4.47</v>
      </c>
      <c r="M208">
        <v>3.65</v>
      </c>
      <c r="N208">
        <v>3.54</v>
      </c>
      <c r="O208" t="s">
        <v>34</v>
      </c>
      <c r="P208" t="s">
        <v>23</v>
      </c>
      <c r="Q208" t="s">
        <v>29</v>
      </c>
    </row>
    <row r="209" spans="1:17" x14ac:dyDescent="0.35">
      <c r="A209">
        <v>208</v>
      </c>
      <c r="B209" t="s">
        <v>25</v>
      </c>
      <c r="C209">
        <v>16</v>
      </c>
      <c r="D209" t="s">
        <v>26</v>
      </c>
      <c r="E209" t="s">
        <v>35</v>
      </c>
      <c r="F209">
        <v>10</v>
      </c>
      <c r="G209">
        <v>0.88</v>
      </c>
      <c r="H209" t="s">
        <v>31</v>
      </c>
      <c r="I209">
        <v>39978</v>
      </c>
      <c r="J209" t="s">
        <v>21</v>
      </c>
      <c r="K209" t="s">
        <v>21</v>
      </c>
      <c r="L209">
        <v>4.04</v>
      </c>
      <c r="M209">
        <v>4.37</v>
      </c>
      <c r="N209">
        <v>4.5999999999999996</v>
      </c>
      <c r="O209" t="s">
        <v>22</v>
      </c>
      <c r="P209" t="s">
        <v>23</v>
      </c>
      <c r="Q209" t="s">
        <v>24</v>
      </c>
    </row>
    <row r="210" spans="1:17" x14ac:dyDescent="0.35">
      <c r="A210">
        <v>209</v>
      </c>
      <c r="B210" t="s">
        <v>25</v>
      </c>
      <c r="C210">
        <v>15</v>
      </c>
      <c r="D210" t="s">
        <v>42</v>
      </c>
      <c r="E210" t="s">
        <v>19</v>
      </c>
      <c r="F210">
        <v>27</v>
      </c>
      <c r="G210">
        <v>0.93</v>
      </c>
      <c r="H210" t="s">
        <v>31</v>
      </c>
      <c r="I210">
        <v>32056</v>
      </c>
      <c r="J210" t="s">
        <v>21</v>
      </c>
      <c r="K210" t="s">
        <v>21</v>
      </c>
      <c r="L210">
        <v>3.43</v>
      </c>
      <c r="M210">
        <v>4.4400000000000004</v>
      </c>
      <c r="N210">
        <v>3.91</v>
      </c>
      <c r="O210" t="s">
        <v>34</v>
      </c>
      <c r="P210" t="s">
        <v>32</v>
      </c>
      <c r="Q210" t="s">
        <v>24</v>
      </c>
    </row>
    <row r="211" spans="1:17" x14ac:dyDescent="0.35">
      <c r="A211">
        <v>210</v>
      </c>
      <c r="B211" t="s">
        <v>17</v>
      </c>
      <c r="C211">
        <v>15</v>
      </c>
      <c r="D211" t="s">
        <v>41</v>
      </c>
      <c r="E211" t="s">
        <v>35</v>
      </c>
      <c r="F211">
        <v>9</v>
      </c>
      <c r="G211">
        <v>0.76</v>
      </c>
      <c r="H211" t="s">
        <v>31</v>
      </c>
      <c r="I211">
        <v>39007</v>
      </c>
      <c r="J211" t="s">
        <v>28</v>
      </c>
      <c r="K211" t="s">
        <v>21</v>
      </c>
      <c r="L211">
        <v>4.5599999999999996</v>
      </c>
      <c r="M211">
        <v>4.05</v>
      </c>
      <c r="N211">
        <v>4.34</v>
      </c>
      <c r="O211" t="s">
        <v>34</v>
      </c>
      <c r="P211" t="s">
        <v>23</v>
      </c>
      <c r="Q211" t="s">
        <v>29</v>
      </c>
    </row>
    <row r="212" spans="1:17" x14ac:dyDescent="0.35">
      <c r="A212">
        <v>211</v>
      </c>
      <c r="B212" t="s">
        <v>17</v>
      </c>
      <c r="C212">
        <v>15</v>
      </c>
      <c r="D212" t="s">
        <v>39</v>
      </c>
      <c r="E212" t="s">
        <v>35</v>
      </c>
      <c r="F212">
        <v>29</v>
      </c>
      <c r="G212">
        <v>0.75</v>
      </c>
      <c r="H212" t="s">
        <v>40</v>
      </c>
      <c r="I212">
        <v>53169</v>
      </c>
      <c r="J212" t="s">
        <v>28</v>
      </c>
      <c r="K212" t="s">
        <v>28</v>
      </c>
      <c r="L212">
        <v>3.41</v>
      </c>
      <c r="M212">
        <v>4.3</v>
      </c>
      <c r="N212">
        <v>3.64</v>
      </c>
      <c r="O212" t="s">
        <v>34</v>
      </c>
      <c r="P212" t="s">
        <v>32</v>
      </c>
      <c r="Q212" t="s">
        <v>24</v>
      </c>
    </row>
    <row r="213" spans="1:17" x14ac:dyDescent="0.35">
      <c r="A213">
        <v>212</v>
      </c>
      <c r="B213" t="s">
        <v>17</v>
      </c>
      <c r="C213">
        <v>18</v>
      </c>
      <c r="D213" t="s">
        <v>37</v>
      </c>
      <c r="E213" t="s">
        <v>19</v>
      </c>
      <c r="F213">
        <v>7</v>
      </c>
      <c r="G213">
        <v>0.61</v>
      </c>
      <c r="H213" t="s">
        <v>27</v>
      </c>
      <c r="I213">
        <v>58287</v>
      </c>
      <c r="J213" t="s">
        <v>28</v>
      </c>
      <c r="K213" t="s">
        <v>21</v>
      </c>
      <c r="L213">
        <v>3.52</v>
      </c>
      <c r="M213">
        <v>4.68</v>
      </c>
      <c r="N213">
        <v>3.76</v>
      </c>
      <c r="O213" t="s">
        <v>34</v>
      </c>
      <c r="P213" t="s">
        <v>23</v>
      </c>
      <c r="Q213" t="s">
        <v>24</v>
      </c>
    </row>
    <row r="214" spans="1:17" x14ac:dyDescent="0.35">
      <c r="A214">
        <v>213</v>
      </c>
      <c r="B214" t="s">
        <v>17</v>
      </c>
      <c r="C214">
        <v>16</v>
      </c>
      <c r="D214" t="s">
        <v>42</v>
      </c>
      <c r="E214" t="s">
        <v>19</v>
      </c>
      <c r="F214">
        <v>5</v>
      </c>
      <c r="G214">
        <v>0.93</v>
      </c>
      <c r="H214" t="s">
        <v>31</v>
      </c>
      <c r="I214">
        <v>54632</v>
      </c>
      <c r="J214" t="s">
        <v>21</v>
      </c>
      <c r="K214" t="s">
        <v>28</v>
      </c>
      <c r="L214">
        <v>3.19</v>
      </c>
      <c r="M214">
        <v>4.7300000000000004</v>
      </c>
      <c r="N214">
        <v>4.9800000000000004</v>
      </c>
      <c r="O214" t="s">
        <v>22</v>
      </c>
      <c r="P214" t="s">
        <v>23</v>
      </c>
      <c r="Q214" t="s">
        <v>24</v>
      </c>
    </row>
    <row r="215" spans="1:17" x14ac:dyDescent="0.35">
      <c r="A215">
        <v>214</v>
      </c>
      <c r="B215" t="s">
        <v>17</v>
      </c>
      <c r="C215">
        <v>16</v>
      </c>
      <c r="D215" t="s">
        <v>37</v>
      </c>
      <c r="E215" t="s">
        <v>19</v>
      </c>
      <c r="F215">
        <v>8</v>
      </c>
      <c r="G215">
        <v>0.67</v>
      </c>
      <c r="H215" t="s">
        <v>40</v>
      </c>
      <c r="I215">
        <v>58449</v>
      </c>
      <c r="J215" t="s">
        <v>28</v>
      </c>
      <c r="K215" t="s">
        <v>28</v>
      </c>
      <c r="L215">
        <v>3.8</v>
      </c>
      <c r="M215">
        <v>4.9400000000000004</v>
      </c>
      <c r="N215">
        <v>3.5</v>
      </c>
      <c r="O215" t="s">
        <v>34</v>
      </c>
      <c r="P215" t="s">
        <v>23</v>
      </c>
      <c r="Q215" t="s">
        <v>29</v>
      </c>
    </row>
    <row r="216" spans="1:17" x14ac:dyDescent="0.35">
      <c r="A216">
        <v>215</v>
      </c>
      <c r="B216" t="s">
        <v>17</v>
      </c>
      <c r="C216">
        <v>16</v>
      </c>
      <c r="D216" t="s">
        <v>42</v>
      </c>
      <c r="E216" t="s">
        <v>35</v>
      </c>
      <c r="F216">
        <v>29</v>
      </c>
      <c r="G216">
        <v>0.72</v>
      </c>
      <c r="H216" t="s">
        <v>27</v>
      </c>
      <c r="I216">
        <v>15543</v>
      </c>
      <c r="J216" t="s">
        <v>28</v>
      </c>
      <c r="K216" t="s">
        <v>28</v>
      </c>
      <c r="L216">
        <v>3.84</v>
      </c>
      <c r="M216">
        <v>4.74</v>
      </c>
      <c r="N216">
        <v>4.01</v>
      </c>
      <c r="O216" t="s">
        <v>34</v>
      </c>
      <c r="P216" t="s">
        <v>32</v>
      </c>
      <c r="Q216" t="s">
        <v>24</v>
      </c>
    </row>
    <row r="217" spans="1:17" x14ac:dyDescent="0.35">
      <c r="A217">
        <v>216</v>
      </c>
      <c r="B217" t="s">
        <v>17</v>
      </c>
      <c r="C217">
        <v>15</v>
      </c>
      <c r="D217" t="s">
        <v>42</v>
      </c>
      <c r="E217" t="s">
        <v>19</v>
      </c>
      <c r="F217">
        <v>24</v>
      </c>
      <c r="G217">
        <v>0.67</v>
      </c>
      <c r="H217" t="s">
        <v>20</v>
      </c>
      <c r="I217">
        <v>31067</v>
      </c>
      <c r="J217" t="s">
        <v>21</v>
      </c>
      <c r="K217" t="s">
        <v>28</v>
      </c>
      <c r="L217">
        <v>4.03</v>
      </c>
      <c r="M217">
        <v>4.3499999999999996</v>
      </c>
      <c r="N217">
        <v>4.6900000000000004</v>
      </c>
      <c r="O217" t="s">
        <v>22</v>
      </c>
      <c r="P217" t="s">
        <v>32</v>
      </c>
      <c r="Q217" t="s">
        <v>24</v>
      </c>
    </row>
    <row r="218" spans="1:17" x14ac:dyDescent="0.35">
      <c r="A218">
        <v>217</v>
      </c>
      <c r="B218" t="s">
        <v>25</v>
      </c>
      <c r="C218">
        <v>16</v>
      </c>
      <c r="D218" t="s">
        <v>30</v>
      </c>
      <c r="E218" t="s">
        <v>35</v>
      </c>
      <c r="F218">
        <v>6</v>
      </c>
      <c r="G218">
        <v>0.89</v>
      </c>
      <c r="H218" t="s">
        <v>40</v>
      </c>
      <c r="I218">
        <v>55256</v>
      </c>
      <c r="J218" t="s">
        <v>21</v>
      </c>
      <c r="K218" t="s">
        <v>21</v>
      </c>
      <c r="L218">
        <v>4.42</v>
      </c>
      <c r="M218">
        <v>3.77</v>
      </c>
      <c r="N218">
        <v>3.48</v>
      </c>
      <c r="O218" t="s">
        <v>36</v>
      </c>
      <c r="P218" t="s">
        <v>23</v>
      </c>
      <c r="Q218" t="s">
        <v>29</v>
      </c>
    </row>
    <row r="219" spans="1:17" x14ac:dyDescent="0.35">
      <c r="A219">
        <v>218</v>
      </c>
      <c r="B219" t="s">
        <v>17</v>
      </c>
      <c r="C219">
        <v>16</v>
      </c>
      <c r="D219" t="s">
        <v>41</v>
      </c>
      <c r="E219" t="s">
        <v>19</v>
      </c>
      <c r="F219">
        <v>9</v>
      </c>
      <c r="G219">
        <v>0.91</v>
      </c>
      <c r="H219" t="s">
        <v>27</v>
      </c>
      <c r="I219">
        <v>35097</v>
      </c>
      <c r="J219" t="s">
        <v>28</v>
      </c>
      <c r="K219" t="s">
        <v>28</v>
      </c>
      <c r="L219">
        <v>4.8099999999999996</v>
      </c>
      <c r="M219">
        <v>3.65</v>
      </c>
      <c r="N219">
        <v>3.83</v>
      </c>
      <c r="O219" t="s">
        <v>34</v>
      </c>
      <c r="P219" t="s">
        <v>23</v>
      </c>
      <c r="Q219" t="s">
        <v>29</v>
      </c>
    </row>
    <row r="220" spans="1:17" x14ac:dyDescent="0.35">
      <c r="A220">
        <v>219</v>
      </c>
      <c r="B220" t="s">
        <v>25</v>
      </c>
      <c r="C220">
        <v>15</v>
      </c>
      <c r="D220" t="s">
        <v>33</v>
      </c>
      <c r="E220" t="s">
        <v>35</v>
      </c>
      <c r="F220">
        <v>7</v>
      </c>
      <c r="G220">
        <v>0.95</v>
      </c>
      <c r="H220" t="s">
        <v>40</v>
      </c>
      <c r="I220">
        <v>52847</v>
      </c>
      <c r="J220" t="s">
        <v>21</v>
      </c>
      <c r="K220" t="s">
        <v>28</v>
      </c>
      <c r="L220">
        <v>3.28</v>
      </c>
      <c r="M220">
        <v>3.58</v>
      </c>
      <c r="N220">
        <v>4.2300000000000004</v>
      </c>
      <c r="O220" t="s">
        <v>34</v>
      </c>
      <c r="P220" t="s">
        <v>23</v>
      </c>
      <c r="Q220" t="s">
        <v>24</v>
      </c>
    </row>
    <row r="221" spans="1:17" x14ac:dyDescent="0.35">
      <c r="A221">
        <v>220</v>
      </c>
      <c r="B221" t="s">
        <v>17</v>
      </c>
      <c r="C221">
        <v>17</v>
      </c>
      <c r="D221" t="s">
        <v>37</v>
      </c>
      <c r="E221" t="s">
        <v>19</v>
      </c>
      <c r="F221">
        <v>13</v>
      </c>
      <c r="G221">
        <v>0.89</v>
      </c>
      <c r="H221" t="s">
        <v>27</v>
      </c>
      <c r="I221">
        <v>53512</v>
      </c>
      <c r="J221" t="s">
        <v>28</v>
      </c>
      <c r="K221" t="s">
        <v>28</v>
      </c>
      <c r="L221">
        <v>3.11</v>
      </c>
      <c r="M221">
        <v>4.5</v>
      </c>
      <c r="N221">
        <v>3.96</v>
      </c>
      <c r="O221" t="s">
        <v>34</v>
      </c>
      <c r="P221" t="s">
        <v>23</v>
      </c>
      <c r="Q221" t="s">
        <v>24</v>
      </c>
    </row>
    <row r="222" spans="1:17" x14ac:dyDescent="0.35">
      <c r="A222">
        <v>221</v>
      </c>
      <c r="B222" t="s">
        <v>17</v>
      </c>
      <c r="C222">
        <v>15</v>
      </c>
      <c r="D222" t="s">
        <v>33</v>
      </c>
      <c r="E222" t="s">
        <v>19</v>
      </c>
      <c r="F222">
        <v>24</v>
      </c>
      <c r="G222">
        <v>0.6</v>
      </c>
      <c r="H222" t="s">
        <v>27</v>
      </c>
      <c r="I222">
        <v>13809</v>
      </c>
      <c r="J222" t="s">
        <v>28</v>
      </c>
      <c r="K222" t="s">
        <v>28</v>
      </c>
      <c r="L222">
        <v>3.04</v>
      </c>
      <c r="M222">
        <v>4.71</v>
      </c>
      <c r="N222">
        <v>3.92</v>
      </c>
      <c r="O222" t="s">
        <v>34</v>
      </c>
      <c r="P222" t="s">
        <v>32</v>
      </c>
      <c r="Q222" t="s">
        <v>24</v>
      </c>
    </row>
    <row r="223" spans="1:17" x14ac:dyDescent="0.35">
      <c r="A223">
        <v>222</v>
      </c>
      <c r="B223" t="s">
        <v>17</v>
      </c>
      <c r="C223">
        <v>16</v>
      </c>
      <c r="D223" t="s">
        <v>37</v>
      </c>
      <c r="E223" t="s">
        <v>19</v>
      </c>
      <c r="F223">
        <v>10</v>
      </c>
      <c r="G223">
        <v>0.98</v>
      </c>
      <c r="H223" t="s">
        <v>20</v>
      </c>
      <c r="I223">
        <v>32191</v>
      </c>
      <c r="J223" t="s">
        <v>21</v>
      </c>
      <c r="K223" t="s">
        <v>21</v>
      </c>
      <c r="L223">
        <v>3.29</v>
      </c>
      <c r="M223">
        <v>4.26</v>
      </c>
      <c r="N223">
        <v>3.73</v>
      </c>
      <c r="O223" t="s">
        <v>34</v>
      </c>
      <c r="P223" t="s">
        <v>23</v>
      </c>
      <c r="Q223" t="s">
        <v>24</v>
      </c>
    </row>
    <row r="224" spans="1:17" x14ac:dyDescent="0.35">
      <c r="A224">
        <v>223</v>
      </c>
      <c r="B224" t="s">
        <v>25</v>
      </c>
      <c r="C224">
        <v>15</v>
      </c>
      <c r="D224" t="s">
        <v>30</v>
      </c>
      <c r="E224" t="s">
        <v>19</v>
      </c>
      <c r="F224">
        <v>22</v>
      </c>
      <c r="G224">
        <v>0.76</v>
      </c>
      <c r="H224" t="s">
        <v>40</v>
      </c>
      <c r="I224">
        <v>31267</v>
      </c>
      <c r="J224" t="s">
        <v>28</v>
      </c>
      <c r="K224" t="s">
        <v>21</v>
      </c>
      <c r="L224">
        <v>4.32</v>
      </c>
      <c r="M224">
        <v>3.58</v>
      </c>
      <c r="N224">
        <v>4.17</v>
      </c>
      <c r="O224" t="s">
        <v>34</v>
      </c>
      <c r="P224" t="s">
        <v>32</v>
      </c>
      <c r="Q224" t="s">
        <v>29</v>
      </c>
    </row>
    <row r="225" spans="1:17" x14ac:dyDescent="0.35">
      <c r="A225">
        <v>224</v>
      </c>
      <c r="B225" t="s">
        <v>25</v>
      </c>
      <c r="C225">
        <v>17</v>
      </c>
      <c r="D225" t="s">
        <v>39</v>
      </c>
      <c r="E225" t="s">
        <v>35</v>
      </c>
      <c r="F225">
        <v>10</v>
      </c>
      <c r="G225">
        <v>0.79</v>
      </c>
      <c r="H225" t="s">
        <v>31</v>
      </c>
      <c r="I225">
        <v>17206</v>
      </c>
      <c r="J225" t="s">
        <v>21</v>
      </c>
      <c r="K225" t="s">
        <v>28</v>
      </c>
      <c r="L225">
        <v>4.45</v>
      </c>
      <c r="M225">
        <v>4.3</v>
      </c>
      <c r="N225">
        <v>4.25</v>
      </c>
      <c r="O225" t="s">
        <v>34</v>
      </c>
      <c r="P225" t="s">
        <v>23</v>
      </c>
      <c r="Q225" t="s">
        <v>29</v>
      </c>
    </row>
    <row r="226" spans="1:17" x14ac:dyDescent="0.35">
      <c r="A226">
        <v>225</v>
      </c>
      <c r="B226" t="s">
        <v>25</v>
      </c>
      <c r="C226">
        <v>15</v>
      </c>
      <c r="D226" t="s">
        <v>33</v>
      </c>
      <c r="E226" t="s">
        <v>19</v>
      </c>
      <c r="F226">
        <v>23</v>
      </c>
      <c r="G226">
        <v>0.83</v>
      </c>
      <c r="H226" t="s">
        <v>20</v>
      </c>
      <c r="I226">
        <v>31057</v>
      </c>
      <c r="J226" t="s">
        <v>21</v>
      </c>
      <c r="K226" t="s">
        <v>28</v>
      </c>
      <c r="L226">
        <v>4.57</v>
      </c>
      <c r="M226">
        <v>4.9000000000000004</v>
      </c>
      <c r="N226">
        <v>4.3099999999999996</v>
      </c>
      <c r="O226" t="s">
        <v>34</v>
      </c>
      <c r="P226" t="s">
        <v>32</v>
      </c>
      <c r="Q226" t="s">
        <v>29</v>
      </c>
    </row>
    <row r="227" spans="1:17" x14ac:dyDescent="0.35">
      <c r="A227">
        <v>226</v>
      </c>
      <c r="B227" t="s">
        <v>25</v>
      </c>
      <c r="C227">
        <v>16</v>
      </c>
      <c r="D227" t="s">
        <v>39</v>
      </c>
      <c r="E227" t="s">
        <v>19</v>
      </c>
      <c r="F227">
        <v>16</v>
      </c>
      <c r="G227">
        <v>0.81</v>
      </c>
      <c r="H227" t="s">
        <v>20</v>
      </c>
      <c r="I227">
        <v>38992</v>
      </c>
      <c r="J227" t="s">
        <v>21</v>
      </c>
      <c r="K227" t="s">
        <v>28</v>
      </c>
      <c r="L227">
        <v>3.49</v>
      </c>
      <c r="M227">
        <v>4.4000000000000004</v>
      </c>
      <c r="N227">
        <v>3.14</v>
      </c>
      <c r="O227" t="s">
        <v>36</v>
      </c>
      <c r="P227" t="s">
        <v>32</v>
      </c>
      <c r="Q227" t="s">
        <v>29</v>
      </c>
    </row>
    <row r="228" spans="1:17" x14ac:dyDescent="0.35">
      <c r="A228">
        <v>227</v>
      </c>
      <c r="B228" t="s">
        <v>17</v>
      </c>
      <c r="C228">
        <v>17</v>
      </c>
      <c r="D228" t="s">
        <v>18</v>
      </c>
      <c r="E228" t="s">
        <v>35</v>
      </c>
      <c r="F228">
        <v>29</v>
      </c>
      <c r="G228">
        <v>0.88</v>
      </c>
      <c r="H228" t="s">
        <v>27</v>
      </c>
      <c r="I228">
        <v>56514</v>
      </c>
      <c r="J228" t="s">
        <v>28</v>
      </c>
      <c r="K228" t="s">
        <v>21</v>
      </c>
      <c r="L228">
        <v>3.61</v>
      </c>
      <c r="M228">
        <v>4.71</v>
      </c>
      <c r="N228">
        <v>4.26</v>
      </c>
      <c r="O228" t="s">
        <v>34</v>
      </c>
      <c r="P228" t="s">
        <v>32</v>
      </c>
      <c r="Q228" t="s">
        <v>24</v>
      </c>
    </row>
    <row r="229" spans="1:17" x14ac:dyDescent="0.35">
      <c r="A229">
        <v>228</v>
      </c>
      <c r="B229" t="s">
        <v>25</v>
      </c>
      <c r="C229">
        <v>18</v>
      </c>
      <c r="D229" t="s">
        <v>41</v>
      </c>
      <c r="E229" t="s">
        <v>19</v>
      </c>
      <c r="F229">
        <v>15</v>
      </c>
      <c r="G229">
        <v>0.81</v>
      </c>
      <c r="H229" t="s">
        <v>31</v>
      </c>
      <c r="I229">
        <v>25995</v>
      </c>
      <c r="J229" t="s">
        <v>21</v>
      </c>
      <c r="K229" t="s">
        <v>21</v>
      </c>
      <c r="L229">
        <v>3.97</v>
      </c>
      <c r="M229">
        <v>4.7</v>
      </c>
      <c r="N229">
        <v>4.91</v>
      </c>
      <c r="O229" t="s">
        <v>22</v>
      </c>
      <c r="P229" t="s">
        <v>32</v>
      </c>
      <c r="Q229" t="s">
        <v>24</v>
      </c>
    </row>
    <row r="230" spans="1:17" x14ac:dyDescent="0.35">
      <c r="A230">
        <v>229</v>
      </c>
      <c r="B230" t="s">
        <v>17</v>
      </c>
      <c r="C230">
        <v>16</v>
      </c>
      <c r="D230" t="s">
        <v>41</v>
      </c>
      <c r="E230" t="s">
        <v>35</v>
      </c>
      <c r="F230">
        <v>6</v>
      </c>
      <c r="G230">
        <v>0.68</v>
      </c>
      <c r="H230" t="s">
        <v>40</v>
      </c>
      <c r="I230">
        <v>58803</v>
      </c>
      <c r="J230" t="s">
        <v>21</v>
      </c>
      <c r="K230" t="s">
        <v>21</v>
      </c>
      <c r="L230">
        <v>3.13</v>
      </c>
      <c r="M230">
        <v>4.9000000000000004</v>
      </c>
      <c r="N230">
        <v>4.08</v>
      </c>
      <c r="O230" t="s">
        <v>34</v>
      </c>
      <c r="P230" t="s">
        <v>23</v>
      </c>
      <c r="Q230" t="s">
        <v>24</v>
      </c>
    </row>
    <row r="231" spans="1:17" x14ac:dyDescent="0.35">
      <c r="A231">
        <v>230</v>
      </c>
      <c r="B231" t="s">
        <v>17</v>
      </c>
      <c r="C231">
        <v>17</v>
      </c>
      <c r="D231" t="s">
        <v>26</v>
      </c>
      <c r="E231" t="s">
        <v>19</v>
      </c>
      <c r="F231">
        <v>19</v>
      </c>
      <c r="G231">
        <v>0.96</v>
      </c>
      <c r="H231" t="s">
        <v>31</v>
      </c>
      <c r="I231">
        <v>54439</v>
      </c>
      <c r="J231" t="s">
        <v>28</v>
      </c>
      <c r="K231" t="s">
        <v>21</v>
      </c>
      <c r="L231">
        <v>4.22</v>
      </c>
      <c r="M231">
        <v>4.66</v>
      </c>
      <c r="N231">
        <v>4.43</v>
      </c>
      <c r="O231" t="s">
        <v>34</v>
      </c>
      <c r="P231" t="s">
        <v>32</v>
      </c>
      <c r="Q231" t="s">
        <v>24</v>
      </c>
    </row>
    <row r="232" spans="1:17" x14ac:dyDescent="0.35">
      <c r="A232">
        <v>231</v>
      </c>
      <c r="B232" t="s">
        <v>25</v>
      </c>
      <c r="C232">
        <v>17</v>
      </c>
      <c r="D232" t="s">
        <v>30</v>
      </c>
      <c r="E232" t="s">
        <v>19</v>
      </c>
      <c r="F232">
        <v>16</v>
      </c>
      <c r="G232">
        <v>0.69</v>
      </c>
      <c r="H232" t="s">
        <v>31</v>
      </c>
      <c r="I232">
        <v>23210</v>
      </c>
      <c r="J232" t="s">
        <v>28</v>
      </c>
      <c r="K232" t="s">
        <v>21</v>
      </c>
      <c r="L232">
        <v>4.97</v>
      </c>
      <c r="M232">
        <v>4.62</v>
      </c>
      <c r="N232">
        <v>4.1100000000000003</v>
      </c>
      <c r="O232" t="s">
        <v>34</v>
      </c>
      <c r="P232" t="s">
        <v>32</v>
      </c>
      <c r="Q232" t="s">
        <v>29</v>
      </c>
    </row>
    <row r="233" spans="1:17" x14ac:dyDescent="0.35">
      <c r="A233">
        <v>232</v>
      </c>
      <c r="B233" t="s">
        <v>25</v>
      </c>
      <c r="C233">
        <v>18</v>
      </c>
      <c r="D233" t="s">
        <v>39</v>
      </c>
      <c r="E233" t="s">
        <v>19</v>
      </c>
      <c r="F233">
        <v>16</v>
      </c>
      <c r="G233">
        <v>0.95</v>
      </c>
      <c r="H233" t="s">
        <v>31</v>
      </c>
      <c r="I233">
        <v>27793</v>
      </c>
      <c r="J233" t="s">
        <v>28</v>
      </c>
      <c r="K233" t="s">
        <v>28</v>
      </c>
      <c r="L233">
        <v>3.72</v>
      </c>
      <c r="M233">
        <v>3.85</v>
      </c>
      <c r="N233">
        <v>4.71</v>
      </c>
      <c r="O233" t="s">
        <v>22</v>
      </c>
      <c r="P233" t="s">
        <v>32</v>
      </c>
      <c r="Q233" t="s">
        <v>24</v>
      </c>
    </row>
    <row r="234" spans="1:17" x14ac:dyDescent="0.35">
      <c r="A234">
        <v>233</v>
      </c>
      <c r="B234" t="s">
        <v>25</v>
      </c>
      <c r="C234">
        <v>15</v>
      </c>
      <c r="D234" t="s">
        <v>42</v>
      </c>
      <c r="E234" t="s">
        <v>35</v>
      </c>
      <c r="F234">
        <v>13</v>
      </c>
      <c r="G234">
        <v>0.96</v>
      </c>
      <c r="H234" t="s">
        <v>31</v>
      </c>
      <c r="I234">
        <v>36270</v>
      </c>
      <c r="J234" t="s">
        <v>28</v>
      </c>
      <c r="K234" t="s">
        <v>21</v>
      </c>
      <c r="L234">
        <v>4.51</v>
      </c>
      <c r="M234">
        <v>3.59</v>
      </c>
      <c r="N234">
        <v>4.8600000000000003</v>
      </c>
      <c r="O234" t="s">
        <v>22</v>
      </c>
      <c r="P234" t="s">
        <v>23</v>
      </c>
      <c r="Q234" t="s">
        <v>24</v>
      </c>
    </row>
    <row r="235" spans="1:17" x14ac:dyDescent="0.35">
      <c r="A235">
        <v>234</v>
      </c>
      <c r="B235" t="s">
        <v>25</v>
      </c>
      <c r="C235">
        <v>15</v>
      </c>
      <c r="D235" t="s">
        <v>37</v>
      </c>
      <c r="E235" t="s">
        <v>19</v>
      </c>
      <c r="F235">
        <v>25</v>
      </c>
      <c r="G235">
        <v>0.87</v>
      </c>
      <c r="H235" t="s">
        <v>31</v>
      </c>
      <c r="I235">
        <v>15197</v>
      </c>
      <c r="J235" t="s">
        <v>21</v>
      </c>
      <c r="K235" t="s">
        <v>21</v>
      </c>
      <c r="L235">
        <v>4</v>
      </c>
      <c r="M235">
        <v>4.28</v>
      </c>
      <c r="N235">
        <v>3.37</v>
      </c>
      <c r="O235" t="s">
        <v>36</v>
      </c>
      <c r="P235" t="s">
        <v>32</v>
      </c>
      <c r="Q235" t="s">
        <v>29</v>
      </c>
    </row>
    <row r="236" spans="1:17" x14ac:dyDescent="0.35">
      <c r="A236">
        <v>235</v>
      </c>
      <c r="B236" t="s">
        <v>25</v>
      </c>
      <c r="C236">
        <v>16</v>
      </c>
      <c r="D236" t="s">
        <v>41</v>
      </c>
      <c r="E236" t="s">
        <v>19</v>
      </c>
      <c r="F236">
        <v>28</v>
      </c>
      <c r="G236">
        <v>0.87</v>
      </c>
      <c r="H236" t="s">
        <v>27</v>
      </c>
      <c r="I236">
        <v>58321</v>
      </c>
      <c r="J236" t="s">
        <v>21</v>
      </c>
      <c r="K236" t="s">
        <v>28</v>
      </c>
      <c r="L236">
        <v>3.26</v>
      </c>
      <c r="M236">
        <v>3.69</v>
      </c>
      <c r="N236">
        <v>3.87</v>
      </c>
      <c r="O236" t="s">
        <v>34</v>
      </c>
      <c r="P236" t="s">
        <v>32</v>
      </c>
      <c r="Q236" t="s">
        <v>24</v>
      </c>
    </row>
    <row r="237" spans="1:17" x14ac:dyDescent="0.35">
      <c r="A237">
        <v>236</v>
      </c>
      <c r="B237" t="s">
        <v>25</v>
      </c>
      <c r="C237">
        <v>18</v>
      </c>
      <c r="D237" t="s">
        <v>33</v>
      </c>
      <c r="E237" t="s">
        <v>19</v>
      </c>
      <c r="F237">
        <v>6</v>
      </c>
      <c r="G237">
        <v>0.8</v>
      </c>
      <c r="H237" t="s">
        <v>27</v>
      </c>
      <c r="I237">
        <v>17452</v>
      </c>
      <c r="J237" t="s">
        <v>21</v>
      </c>
      <c r="K237" t="s">
        <v>21</v>
      </c>
      <c r="L237">
        <v>4.16</v>
      </c>
      <c r="M237">
        <v>4.9400000000000004</v>
      </c>
      <c r="N237">
        <v>3.78</v>
      </c>
      <c r="O237" t="s">
        <v>34</v>
      </c>
      <c r="P237" t="s">
        <v>23</v>
      </c>
      <c r="Q237" t="s">
        <v>29</v>
      </c>
    </row>
    <row r="238" spans="1:17" x14ac:dyDescent="0.35">
      <c r="A238">
        <v>237</v>
      </c>
      <c r="B238" t="s">
        <v>25</v>
      </c>
      <c r="C238">
        <v>15</v>
      </c>
      <c r="D238" t="s">
        <v>37</v>
      </c>
      <c r="E238" t="s">
        <v>35</v>
      </c>
      <c r="F238">
        <v>26</v>
      </c>
      <c r="G238">
        <v>0.83</v>
      </c>
      <c r="H238" t="s">
        <v>20</v>
      </c>
      <c r="I238">
        <v>51486</v>
      </c>
      <c r="J238" t="s">
        <v>28</v>
      </c>
      <c r="K238" t="s">
        <v>21</v>
      </c>
      <c r="L238">
        <v>3.6</v>
      </c>
      <c r="M238">
        <v>3.93</v>
      </c>
      <c r="N238">
        <v>3.81</v>
      </c>
      <c r="O238" t="s">
        <v>34</v>
      </c>
      <c r="P238" t="s">
        <v>32</v>
      </c>
      <c r="Q238" t="s">
        <v>24</v>
      </c>
    </row>
    <row r="239" spans="1:17" x14ac:dyDescent="0.35">
      <c r="A239">
        <v>238</v>
      </c>
      <c r="B239" t="s">
        <v>25</v>
      </c>
      <c r="C239">
        <v>18</v>
      </c>
      <c r="D239" t="s">
        <v>37</v>
      </c>
      <c r="E239" t="s">
        <v>35</v>
      </c>
      <c r="F239">
        <v>7</v>
      </c>
      <c r="G239">
        <v>0.99</v>
      </c>
      <c r="H239" t="s">
        <v>27</v>
      </c>
      <c r="I239">
        <v>24859</v>
      </c>
      <c r="J239" t="s">
        <v>28</v>
      </c>
      <c r="K239" t="s">
        <v>21</v>
      </c>
      <c r="L239">
        <v>3.07</v>
      </c>
      <c r="M239">
        <v>4.78</v>
      </c>
      <c r="N239">
        <v>3.25</v>
      </c>
      <c r="O239" t="s">
        <v>36</v>
      </c>
      <c r="P239" t="s">
        <v>23</v>
      </c>
      <c r="Q239" t="s">
        <v>24</v>
      </c>
    </row>
    <row r="240" spans="1:17" x14ac:dyDescent="0.35">
      <c r="A240">
        <v>239</v>
      </c>
      <c r="B240" t="s">
        <v>17</v>
      </c>
      <c r="C240">
        <v>15</v>
      </c>
      <c r="D240" t="s">
        <v>26</v>
      </c>
      <c r="E240" t="s">
        <v>19</v>
      </c>
      <c r="F240">
        <v>16</v>
      </c>
      <c r="G240">
        <v>0.61</v>
      </c>
      <c r="H240" t="s">
        <v>20</v>
      </c>
      <c r="I240">
        <v>37236</v>
      </c>
      <c r="J240" t="s">
        <v>21</v>
      </c>
      <c r="K240" t="s">
        <v>28</v>
      </c>
      <c r="L240">
        <v>4.2699999999999996</v>
      </c>
      <c r="M240">
        <v>4.08</v>
      </c>
      <c r="N240">
        <v>4.63</v>
      </c>
      <c r="O240" t="s">
        <v>22</v>
      </c>
      <c r="P240" t="s">
        <v>32</v>
      </c>
      <c r="Q240" t="s">
        <v>24</v>
      </c>
    </row>
    <row r="241" spans="1:17" x14ac:dyDescent="0.35">
      <c r="A241">
        <v>240</v>
      </c>
      <c r="B241" t="s">
        <v>25</v>
      </c>
      <c r="C241">
        <v>17</v>
      </c>
      <c r="D241" t="s">
        <v>39</v>
      </c>
      <c r="E241" t="s">
        <v>35</v>
      </c>
      <c r="F241">
        <v>20</v>
      </c>
      <c r="G241">
        <v>0.67</v>
      </c>
      <c r="H241" t="s">
        <v>20</v>
      </c>
      <c r="I241">
        <v>41899</v>
      </c>
      <c r="J241" t="s">
        <v>28</v>
      </c>
      <c r="K241" t="s">
        <v>21</v>
      </c>
      <c r="L241">
        <v>4.72</v>
      </c>
      <c r="M241">
        <v>3.98</v>
      </c>
      <c r="N241">
        <v>3.07</v>
      </c>
      <c r="O241" t="s">
        <v>36</v>
      </c>
      <c r="P241" t="s">
        <v>32</v>
      </c>
      <c r="Q241" t="s">
        <v>29</v>
      </c>
    </row>
    <row r="242" spans="1:17" x14ac:dyDescent="0.35">
      <c r="A242">
        <v>241</v>
      </c>
      <c r="B242" t="s">
        <v>25</v>
      </c>
      <c r="C242">
        <v>15</v>
      </c>
      <c r="D242" t="s">
        <v>41</v>
      </c>
      <c r="E242" t="s">
        <v>19</v>
      </c>
      <c r="F242">
        <v>25</v>
      </c>
      <c r="G242">
        <v>0.86</v>
      </c>
      <c r="H242" t="s">
        <v>40</v>
      </c>
      <c r="I242">
        <v>42083</v>
      </c>
      <c r="J242" t="s">
        <v>28</v>
      </c>
      <c r="K242" t="s">
        <v>28</v>
      </c>
      <c r="L242">
        <v>3.69</v>
      </c>
      <c r="M242">
        <v>4.9000000000000004</v>
      </c>
      <c r="N242">
        <v>4.0599999999999996</v>
      </c>
      <c r="O242" t="s">
        <v>34</v>
      </c>
      <c r="P242" t="s">
        <v>32</v>
      </c>
      <c r="Q242" t="s">
        <v>24</v>
      </c>
    </row>
    <row r="243" spans="1:17" x14ac:dyDescent="0.35">
      <c r="A243">
        <v>242</v>
      </c>
      <c r="B243" t="s">
        <v>17</v>
      </c>
      <c r="C243">
        <v>18</v>
      </c>
      <c r="D243" t="s">
        <v>37</v>
      </c>
      <c r="E243" t="s">
        <v>19</v>
      </c>
      <c r="F243">
        <v>28</v>
      </c>
      <c r="G243">
        <v>0.81</v>
      </c>
      <c r="H243" t="s">
        <v>31</v>
      </c>
      <c r="I243">
        <v>12172</v>
      </c>
      <c r="J243" t="s">
        <v>21</v>
      </c>
      <c r="K243" t="s">
        <v>28</v>
      </c>
      <c r="L243">
        <v>3.78</v>
      </c>
      <c r="M243">
        <v>4.04</v>
      </c>
      <c r="N243">
        <v>4.32</v>
      </c>
      <c r="O243" t="s">
        <v>34</v>
      </c>
      <c r="P243" t="s">
        <v>32</v>
      </c>
      <c r="Q243" t="s">
        <v>24</v>
      </c>
    </row>
    <row r="244" spans="1:17" x14ac:dyDescent="0.35">
      <c r="A244">
        <v>243</v>
      </c>
      <c r="B244" t="s">
        <v>25</v>
      </c>
      <c r="C244">
        <v>17</v>
      </c>
      <c r="D244" t="s">
        <v>41</v>
      </c>
      <c r="E244" t="s">
        <v>19</v>
      </c>
      <c r="F244">
        <v>5</v>
      </c>
      <c r="G244">
        <v>0.96</v>
      </c>
      <c r="H244" t="s">
        <v>27</v>
      </c>
      <c r="I244">
        <v>55926</v>
      </c>
      <c r="J244" t="s">
        <v>21</v>
      </c>
      <c r="K244" t="s">
        <v>21</v>
      </c>
      <c r="L244">
        <v>4.78</v>
      </c>
      <c r="M244">
        <v>4.09</v>
      </c>
      <c r="N244">
        <v>3.41</v>
      </c>
      <c r="O244" t="s">
        <v>36</v>
      </c>
      <c r="P244" t="s">
        <v>23</v>
      </c>
      <c r="Q244" t="s">
        <v>29</v>
      </c>
    </row>
    <row r="245" spans="1:17" x14ac:dyDescent="0.35">
      <c r="A245">
        <v>244</v>
      </c>
      <c r="B245" t="s">
        <v>17</v>
      </c>
      <c r="C245">
        <v>17</v>
      </c>
      <c r="D245" t="s">
        <v>42</v>
      </c>
      <c r="E245" t="s">
        <v>19</v>
      </c>
      <c r="F245">
        <v>25</v>
      </c>
      <c r="G245">
        <v>0.86</v>
      </c>
      <c r="H245" t="s">
        <v>40</v>
      </c>
      <c r="I245">
        <v>26663</v>
      </c>
      <c r="J245" t="s">
        <v>28</v>
      </c>
      <c r="K245" t="s">
        <v>21</v>
      </c>
      <c r="L245">
        <v>4.63</v>
      </c>
      <c r="M245">
        <v>3.66</v>
      </c>
      <c r="N245">
        <v>4.8099999999999996</v>
      </c>
      <c r="O245" t="s">
        <v>22</v>
      </c>
      <c r="P245" t="s">
        <v>32</v>
      </c>
      <c r="Q245" t="s">
        <v>24</v>
      </c>
    </row>
    <row r="246" spans="1:17" x14ac:dyDescent="0.35">
      <c r="A246">
        <v>245</v>
      </c>
      <c r="B246" t="s">
        <v>17</v>
      </c>
      <c r="C246">
        <v>17</v>
      </c>
      <c r="D246" t="s">
        <v>26</v>
      </c>
      <c r="E246" t="s">
        <v>19</v>
      </c>
      <c r="F246">
        <v>7</v>
      </c>
      <c r="G246">
        <v>0.88</v>
      </c>
      <c r="H246" t="s">
        <v>27</v>
      </c>
      <c r="I246">
        <v>37540</v>
      </c>
      <c r="J246" t="s">
        <v>28</v>
      </c>
      <c r="K246" t="s">
        <v>21</v>
      </c>
      <c r="L246">
        <v>4.43</v>
      </c>
      <c r="M246">
        <v>4.51</v>
      </c>
      <c r="N246">
        <v>4.68</v>
      </c>
      <c r="O246" t="s">
        <v>22</v>
      </c>
      <c r="P246" t="s">
        <v>23</v>
      </c>
      <c r="Q246" t="s">
        <v>24</v>
      </c>
    </row>
    <row r="247" spans="1:17" x14ac:dyDescent="0.35">
      <c r="A247">
        <v>246</v>
      </c>
      <c r="B247" t="s">
        <v>25</v>
      </c>
      <c r="C247">
        <v>18</v>
      </c>
      <c r="D247" t="s">
        <v>42</v>
      </c>
      <c r="E247" t="s">
        <v>19</v>
      </c>
      <c r="F247">
        <v>24</v>
      </c>
      <c r="G247">
        <v>0.62</v>
      </c>
      <c r="H247" t="s">
        <v>20</v>
      </c>
      <c r="I247">
        <v>29053</v>
      </c>
      <c r="J247" t="s">
        <v>28</v>
      </c>
      <c r="K247" t="s">
        <v>21</v>
      </c>
      <c r="L247">
        <v>3.5</v>
      </c>
      <c r="M247">
        <v>3.93</v>
      </c>
      <c r="N247">
        <v>3.94</v>
      </c>
      <c r="O247" t="s">
        <v>34</v>
      </c>
      <c r="P247" t="s">
        <v>32</v>
      </c>
      <c r="Q247" t="s">
        <v>24</v>
      </c>
    </row>
    <row r="248" spans="1:17" x14ac:dyDescent="0.35">
      <c r="A248">
        <v>247</v>
      </c>
      <c r="B248" t="s">
        <v>17</v>
      </c>
      <c r="C248">
        <v>16</v>
      </c>
      <c r="D248" t="s">
        <v>41</v>
      </c>
      <c r="E248" t="s">
        <v>19</v>
      </c>
      <c r="F248">
        <v>6</v>
      </c>
      <c r="G248">
        <v>0.72</v>
      </c>
      <c r="H248" t="s">
        <v>27</v>
      </c>
      <c r="I248">
        <v>21085</v>
      </c>
      <c r="J248" t="s">
        <v>21</v>
      </c>
      <c r="K248" t="s">
        <v>28</v>
      </c>
      <c r="L248">
        <v>4.82</v>
      </c>
      <c r="M248">
        <v>4.38</v>
      </c>
      <c r="N248">
        <v>3.82</v>
      </c>
      <c r="O248" t="s">
        <v>34</v>
      </c>
      <c r="P248" t="s">
        <v>23</v>
      </c>
      <c r="Q248" t="s">
        <v>29</v>
      </c>
    </row>
    <row r="249" spans="1:17" x14ac:dyDescent="0.35">
      <c r="A249">
        <v>248</v>
      </c>
      <c r="B249" t="s">
        <v>17</v>
      </c>
      <c r="C249">
        <v>16</v>
      </c>
      <c r="D249" t="s">
        <v>18</v>
      </c>
      <c r="E249" t="s">
        <v>35</v>
      </c>
      <c r="F249">
        <v>13</v>
      </c>
      <c r="G249">
        <v>0.69</v>
      </c>
      <c r="H249" t="s">
        <v>31</v>
      </c>
      <c r="I249">
        <v>40564</v>
      </c>
      <c r="J249" t="s">
        <v>21</v>
      </c>
      <c r="K249" t="s">
        <v>21</v>
      </c>
      <c r="L249">
        <v>3.31</v>
      </c>
      <c r="M249">
        <v>4.3899999999999997</v>
      </c>
      <c r="N249">
        <v>3.47</v>
      </c>
      <c r="O249" t="s">
        <v>36</v>
      </c>
      <c r="P249" t="s">
        <v>23</v>
      </c>
      <c r="Q249" t="s">
        <v>24</v>
      </c>
    </row>
    <row r="250" spans="1:17" x14ac:dyDescent="0.35">
      <c r="A250">
        <v>249</v>
      </c>
      <c r="B250" t="s">
        <v>17</v>
      </c>
      <c r="C250">
        <v>16</v>
      </c>
      <c r="D250" t="s">
        <v>33</v>
      </c>
      <c r="E250" t="s">
        <v>35</v>
      </c>
      <c r="F250">
        <v>23</v>
      </c>
      <c r="G250">
        <v>0.95</v>
      </c>
      <c r="H250" t="s">
        <v>20</v>
      </c>
      <c r="I250">
        <v>34209</v>
      </c>
      <c r="J250" t="s">
        <v>21</v>
      </c>
      <c r="K250" t="s">
        <v>28</v>
      </c>
      <c r="L250">
        <v>4.25</v>
      </c>
      <c r="M250">
        <v>4.58</v>
      </c>
      <c r="N250">
        <v>4.46</v>
      </c>
      <c r="O250" t="s">
        <v>34</v>
      </c>
      <c r="P250" t="s">
        <v>32</v>
      </c>
      <c r="Q250" t="s">
        <v>24</v>
      </c>
    </row>
    <row r="251" spans="1:17" x14ac:dyDescent="0.35">
      <c r="A251">
        <v>250</v>
      </c>
      <c r="B251" t="s">
        <v>17</v>
      </c>
      <c r="C251">
        <v>18</v>
      </c>
      <c r="D251" t="s">
        <v>41</v>
      </c>
      <c r="E251" t="s">
        <v>35</v>
      </c>
      <c r="F251">
        <v>19</v>
      </c>
      <c r="G251">
        <v>0.68</v>
      </c>
      <c r="H251" t="s">
        <v>20</v>
      </c>
      <c r="I251">
        <v>13981</v>
      </c>
      <c r="J251" t="s">
        <v>21</v>
      </c>
      <c r="K251" t="s">
        <v>28</v>
      </c>
      <c r="L251">
        <v>3.06</v>
      </c>
      <c r="M251">
        <v>4.62</v>
      </c>
      <c r="N251">
        <v>3.26</v>
      </c>
      <c r="O251" t="s">
        <v>36</v>
      </c>
      <c r="P251" t="s">
        <v>32</v>
      </c>
      <c r="Q251" t="s">
        <v>24</v>
      </c>
    </row>
    <row r="252" spans="1:17" x14ac:dyDescent="0.35">
      <c r="A252">
        <v>251</v>
      </c>
      <c r="B252" t="s">
        <v>25</v>
      </c>
      <c r="C252">
        <v>17</v>
      </c>
      <c r="D252" t="s">
        <v>39</v>
      </c>
      <c r="E252" t="s">
        <v>35</v>
      </c>
      <c r="F252">
        <v>22</v>
      </c>
      <c r="G252">
        <v>0.86</v>
      </c>
      <c r="H252" t="s">
        <v>40</v>
      </c>
      <c r="I252">
        <v>31153</v>
      </c>
      <c r="J252" t="s">
        <v>21</v>
      </c>
      <c r="K252" t="s">
        <v>28</v>
      </c>
      <c r="L252">
        <v>4.29</v>
      </c>
      <c r="M252">
        <v>4.2699999999999996</v>
      </c>
      <c r="N252">
        <v>4.3600000000000003</v>
      </c>
      <c r="O252" t="s">
        <v>34</v>
      </c>
      <c r="P252" t="s">
        <v>32</v>
      </c>
      <c r="Q252" t="s">
        <v>24</v>
      </c>
    </row>
    <row r="253" spans="1:17" x14ac:dyDescent="0.35">
      <c r="A253">
        <v>252</v>
      </c>
      <c r="B253" t="s">
        <v>17</v>
      </c>
      <c r="C253">
        <v>16</v>
      </c>
      <c r="D253" t="s">
        <v>37</v>
      </c>
      <c r="E253" t="s">
        <v>35</v>
      </c>
      <c r="F253">
        <v>15</v>
      </c>
      <c r="G253">
        <v>0.93</v>
      </c>
      <c r="H253" t="s">
        <v>31</v>
      </c>
      <c r="I253">
        <v>15247</v>
      </c>
      <c r="J253" t="s">
        <v>28</v>
      </c>
      <c r="K253" t="s">
        <v>28</v>
      </c>
      <c r="L253">
        <v>3.55</v>
      </c>
      <c r="M253">
        <v>4</v>
      </c>
      <c r="N253">
        <v>4.68</v>
      </c>
      <c r="O253" t="s">
        <v>22</v>
      </c>
      <c r="P253" t="s">
        <v>32</v>
      </c>
      <c r="Q253" t="s">
        <v>24</v>
      </c>
    </row>
    <row r="254" spans="1:17" x14ac:dyDescent="0.35">
      <c r="A254">
        <v>253</v>
      </c>
      <c r="B254" t="s">
        <v>25</v>
      </c>
      <c r="C254">
        <v>18</v>
      </c>
      <c r="D254" t="s">
        <v>37</v>
      </c>
      <c r="E254" t="s">
        <v>35</v>
      </c>
      <c r="F254">
        <v>29</v>
      </c>
      <c r="G254">
        <v>0.6</v>
      </c>
      <c r="H254" t="s">
        <v>20</v>
      </c>
      <c r="I254">
        <v>20553</v>
      </c>
      <c r="J254" t="s">
        <v>28</v>
      </c>
      <c r="K254" t="s">
        <v>28</v>
      </c>
      <c r="L254">
        <v>3.9</v>
      </c>
      <c r="M254">
        <v>4.76</v>
      </c>
      <c r="N254">
        <v>3.46</v>
      </c>
      <c r="O254" t="s">
        <v>36</v>
      </c>
      <c r="P254" t="s">
        <v>32</v>
      </c>
      <c r="Q254" t="s">
        <v>29</v>
      </c>
    </row>
    <row r="255" spans="1:17" x14ac:dyDescent="0.35">
      <c r="A255">
        <v>254</v>
      </c>
      <c r="B255" t="s">
        <v>17</v>
      </c>
      <c r="C255">
        <v>16</v>
      </c>
      <c r="D255" t="s">
        <v>42</v>
      </c>
      <c r="E255" t="s">
        <v>35</v>
      </c>
      <c r="F255">
        <v>27</v>
      </c>
      <c r="G255">
        <v>0.91</v>
      </c>
      <c r="H255" t="s">
        <v>31</v>
      </c>
      <c r="I255">
        <v>30811</v>
      </c>
      <c r="J255" t="s">
        <v>28</v>
      </c>
      <c r="K255" t="s">
        <v>21</v>
      </c>
      <c r="L255">
        <v>3.69</v>
      </c>
      <c r="M255">
        <v>3.96</v>
      </c>
      <c r="N255">
        <v>4.7300000000000004</v>
      </c>
      <c r="O255" t="s">
        <v>22</v>
      </c>
      <c r="P255" t="s">
        <v>32</v>
      </c>
      <c r="Q255" t="s">
        <v>24</v>
      </c>
    </row>
    <row r="256" spans="1:17" x14ac:dyDescent="0.35">
      <c r="A256">
        <v>255</v>
      </c>
      <c r="B256" t="s">
        <v>17</v>
      </c>
      <c r="C256">
        <v>15</v>
      </c>
      <c r="D256" t="s">
        <v>33</v>
      </c>
      <c r="E256" t="s">
        <v>19</v>
      </c>
      <c r="F256">
        <v>20</v>
      </c>
      <c r="G256">
        <v>0.84</v>
      </c>
      <c r="H256" t="s">
        <v>27</v>
      </c>
      <c r="I256">
        <v>39845</v>
      </c>
      <c r="J256" t="s">
        <v>21</v>
      </c>
      <c r="K256" t="s">
        <v>28</v>
      </c>
      <c r="L256">
        <v>3.35</v>
      </c>
      <c r="M256">
        <v>4.26</v>
      </c>
      <c r="N256">
        <v>3.07</v>
      </c>
      <c r="O256" t="s">
        <v>36</v>
      </c>
      <c r="P256" t="s">
        <v>32</v>
      </c>
      <c r="Q256" t="s">
        <v>29</v>
      </c>
    </row>
    <row r="257" spans="1:17" x14ac:dyDescent="0.35">
      <c r="A257">
        <v>256</v>
      </c>
      <c r="B257" t="s">
        <v>17</v>
      </c>
      <c r="C257">
        <v>16</v>
      </c>
      <c r="D257" t="s">
        <v>26</v>
      </c>
      <c r="E257" t="s">
        <v>19</v>
      </c>
      <c r="F257">
        <v>26</v>
      </c>
      <c r="G257">
        <v>0.88</v>
      </c>
      <c r="H257" t="s">
        <v>31</v>
      </c>
      <c r="I257">
        <v>16135</v>
      </c>
      <c r="J257" t="s">
        <v>21</v>
      </c>
      <c r="K257" t="s">
        <v>28</v>
      </c>
      <c r="L257">
        <v>4.24</v>
      </c>
      <c r="M257">
        <v>4.0999999999999996</v>
      </c>
      <c r="N257">
        <v>4.83</v>
      </c>
      <c r="O257" t="s">
        <v>22</v>
      </c>
      <c r="P257" t="s">
        <v>32</v>
      </c>
      <c r="Q257" t="s">
        <v>24</v>
      </c>
    </row>
    <row r="258" spans="1:17" x14ac:dyDescent="0.35">
      <c r="A258">
        <v>257</v>
      </c>
      <c r="B258" t="s">
        <v>17</v>
      </c>
      <c r="C258">
        <v>16</v>
      </c>
      <c r="D258" t="s">
        <v>18</v>
      </c>
      <c r="E258" t="s">
        <v>19</v>
      </c>
      <c r="F258">
        <v>21</v>
      </c>
      <c r="G258">
        <v>0.66</v>
      </c>
      <c r="H258" t="s">
        <v>20</v>
      </c>
      <c r="I258">
        <v>15573</v>
      </c>
      <c r="J258" t="s">
        <v>21</v>
      </c>
      <c r="K258" t="s">
        <v>21</v>
      </c>
      <c r="L258">
        <v>4.76</v>
      </c>
      <c r="M258">
        <v>4.78</v>
      </c>
      <c r="N258">
        <v>3.24</v>
      </c>
      <c r="O258" t="s">
        <v>36</v>
      </c>
      <c r="P258" t="s">
        <v>32</v>
      </c>
      <c r="Q258" t="s">
        <v>29</v>
      </c>
    </row>
    <row r="259" spans="1:17" x14ac:dyDescent="0.35">
      <c r="A259">
        <v>258</v>
      </c>
      <c r="B259" t="s">
        <v>25</v>
      </c>
      <c r="C259">
        <v>17</v>
      </c>
      <c r="D259" t="s">
        <v>30</v>
      </c>
      <c r="E259" t="s">
        <v>19</v>
      </c>
      <c r="F259">
        <v>9</v>
      </c>
      <c r="G259">
        <v>0.62</v>
      </c>
      <c r="H259" t="s">
        <v>40</v>
      </c>
      <c r="I259">
        <v>23731</v>
      </c>
      <c r="J259" t="s">
        <v>28</v>
      </c>
      <c r="K259" t="s">
        <v>21</v>
      </c>
      <c r="L259">
        <v>4.92</v>
      </c>
      <c r="M259">
        <v>4.1500000000000004</v>
      </c>
      <c r="N259">
        <v>4.29</v>
      </c>
      <c r="O259" t="s">
        <v>34</v>
      </c>
      <c r="P259" t="s">
        <v>23</v>
      </c>
      <c r="Q259" t="s">
        <v>29</v>
      </c>
    </row>
    <row r="260" spans="1:17" x14ac:dyDescent="0.35">
      <c r="A260">
        <v>259</v>
      </c>
      <c r="B260" t="s">
        <v>25</v>
      </c>
      <c r="C260">
        <v>18</v>
      </c>
      <c r="D260" t="s">
        <v>33</v>
      </c>
      <c r="E260" t="s">
        <v>35</v>
      </c>
      <c r="F260">
        <v>16</v>
      </c>
      <c r="G260">
        <v>0.79</v>
      </c>
      <c r="H260" t="s">
        <v>20</v>
      </c>
      <c r="I260">
        <v>17189</v>
      </c>
      <c r="J260" t="s">
        <v>21</v>
      </c>
      <c r="K260" t="s">
        <v>28</v>
      </c>
      <c r="L260">
        <v>3.38</v>
      </c>
      <c r="M260">
        <v>4.08</v>
      </c>
      <c r="N260">
        <v>3.5</v>
      </c>
      <c r="O260" t="s">
        <v>34</v>
      </c>
      <c r="P260" t="s">
        <v>32</v>
      </c>
      <c r="Q260" t="s">
        <v>24</v>
      </c>
    </row>
    <row r="261" spans="1:17" x14ac:dyDescent="0.35">
      <c r="A261">
        <v>260</v>
      </c>
      <c r="B261" t="s">
        <v>17</v>
      </c>
      <c r="C261">
        <v>17</v>
      </c>
      <c r="D261" t="s">
        <v>37</v>
      </c>
      <c r="E261" t="s">
        <v>35</v>
      </c>
      <c r="F261">
        <v>15</v>
      </c>
      <c r="G261">
        <v>0.79</v>
      </c>
      <c r="H261" t="s">
        <v>31</v>
      </c>
      <c r="I261">
        <v>24541</v>
      </c>
      <c r="J261" t="s">
        <v>21</v>
      </c>
      <c r="K261" t="s">
        <v>28</v>
      </c>
      <c r="L261">
        <v>4.43</v>
      </c>
      <c r="M261">
        <v>4.53</v>
      </c>
      <c r="N261">
        <v>4.67</v>
      </c>
      <c r="O261" t="s">
        <v>22</v>
      </c>
      <c r="P261" t="s">
        <v>32</v>
      </c>
      <c r="Q261" t="s">
        <v>24</v>
      </c>
    </row>
    <row r="262" spans="1:17" x14ac:dyDescent="0.35">
      <c r="A262">
        <v>261</v>
      </c>
      <c r="B262" t="s">
        <v>17</v>
      </c>
      <c r="C262">
        <v>17</v>
      </c>
      <c r="D262" t="s">
        <v>39</v>
      </c>
      <c r="E262" t="s">
        <v>19</v>
      </c>
      <c r="F262">
        <v>19</v>
      </c>
      <c r="G262">
        <v>0.89</v>
      </c>
      <c r="H262" t="s">
        <v>31</v>
      </c>
      <c r="I262">
        <v>53646</v>
      </c>
      <c r="J262" t="s">
        <v>28</v>
      </c>
      <c r="K262" t="s">
        <v>21</v>
      </c>
      <c r="L262">
        <v>4.33</v>
      </c>
      <c r="M262">
        <v>4.4000000000000004</v>
      </c>
      <c r="N262">
        <v>4.0199999999999996</v>
      </c>
      <c r="O262" t="s">
        <v>34</v>
      </c>
      <c r="P262" t="s">
        <v>32</v>
      </c>
      <c r="Q262" t="s">
        <v>29</v>
      </c>
    </row>
    <row r="263" spans="1:17" x14ac:dyDescent="0.35">
      <c r="A263">
        <v>262</v>
      </c>
      <c r="B263" t="s">
        <v>25</v>
      </c>
      <c r="C263">
        <v>17</v>
      </c>
      <c r="D263" t="s">
        <v>33</v>
      </c>
      <c r="E263" t="s">
        <v>19</v>
      </c>
      <c r="F263">
        <v>7</v>
      </c>
      <c r="G263">
        <v>0.94</v>
      </c>
      <c r="H263" t="s">
        <v>20</v>
      </c>
      <c r="I263">
        <v>21087</v>
      </c>
      <c r="J263" t="s">
        <v>21</v>
      </c>
      <c r="K263" t="s">
        <v>28</v>
      </c>
      <c r="L263">
        <v>3.69</v>
      </c>
      <c r="M263">
        <v>3.66</v>
      </c>
      <c r="N263">
        <v>3.27</v>
      </c>
      <c r="O263" t="s">
        <v>36</v>
      </c>
      <c r="P263" t="s">
        <v>23</v>
      </c>
      <c r="Q263" t="s">
        <v>29</v>
      </c>
    </row>
    <row r="264" spans="1:17" x14ac:dyDescent="0.35">
      <c r="A264">
        <v>263</v>
      </c>
      <c r="B264" t="s">
        <v>17</v>
      </c>
      <c r="C264">
        <v>17</v>
      </c>
      <c r="D264" t="s">
        <v>42</v>
      </c>
      <c r="E264" t="s">
        <v>35</v>
      </c>
      <c r="F264">
        <v>5</v>
      </c>
      <c r="G264">
        <v>0.94</v>
      </c>
      <c r="H264" t="s">
        <v>31</v>
      </c>
      <c r="I264">
        <v>56435</v>
      </c>
      <c r="J264" t="s">
        <v>28</v>
      </c>
      <c r="K264" t="s">
        <v>21</v>
      </c>
      <c r="L264">
        <v>3.04</v>
      </c>
      <c r="M264">
        <v>4.26</v>
      </c>
      <c r="N264">
        <v>4.1399999999999997</v>
      </c>
      <c r="O264" t="s">
        <v>34</v>
      </c>
      <c r="P264" t="s">
        <v>23</v>
      </c>
      <c r="Q264" t="s">
        <v>24</v>
      </c>
    </row>
    <row r="265" spans="1:17" x14ac:dyDescent="0.35">
      <c r="A265">
        <v>264</v>
      </c>
      <c r="B265" t="s">
        <v>17</v>
      </c>
      <c r="C265">
        <v>17</v>
      </c>
      <c r="D265" t="s">
        <v>42</v>
      </c>
      <c r="E265" t="s">
        <v>19</v>
      </c>
      <c r="F265">
        <v>24</v>
      </c>
      <c r="G265">
        <v>0.98</v>
      </c>
      <c r="H265" t="s">
        <v>27</v>
      </c>
      <c r="I265">
        <v>12776</v>
      </c>
      <c r="J265" t="s">
        <v>21</v>
      </c>
      <c r="K265" t="s">
        <v>21</v>
      </c>
      <c r="L265">
        <v>4.38</v>
      </c>
      <c r="M265">
        <v>4.5999999999999996</v>
      </c>
      <c r="N265">
        <v>3.82</v>
      </c>
      <c r="O265" t="s">
        <v>34</v>
      </c>
      <c r="P265" t="s">
        <v>32</v>
      </c>
      <c r="Q265" t="s">
        <v>29</v>
      </c>
    </row>
    <row r="266" spans="1:17" x14ac:dyDescent="0.35">
      <c r="A266">
        <v>265</v>
      </c>
      <c r="B266" t="s">
        <v>17</v>
      </c>
      <c r="C266">
        <v>16</v>
      </c>
      <c r="D266" t="s">
        <v>30</v>
      </c>
      <c r="E266" t="s">
        <v>19</v>
      </c>
      <c r="F266">
        <v>20</v>
      </c>
      <c r="G266">
        <v>0.86</v>
      </c>
      <c r="H266" t="s">
        <v>20</v>
      </c>
      <c r="I266">
        <v>52079</v>
      </c>
      <c r="J266" t="s">
        <v>21</v>
      </c>
      <c r="K266" t="s">
        <v>28</v>
      </c>
      <c r="L266">
        <v>4.8899999999999997</v>
      </c>
      <c r="M266">
        <v>4.99</v>
      </c>
      <c r="N266">
        <v>4.32</v>
      </c>
      <c r="O266" t="s">
        <v>34</v>
      </c>
      <c r="P266" t="s">
        <v>32</v>
      </c>
      <c r="Q266" t="s">
        <v>29</v>
      </c>
    </row>
    <row r="267" spans="1:17" x14ac:dyDescent="0.35">
      <c r="A267">
        <v>266</v>
      </c>
      <c r="B267" t="s">
        <v>25</v>
      </c>
      <c r="C267">
        <v>17</v>
      </c>
      <c r="D267" t="s">
        <v>39</v>
      </c>
      <c r="E267" t="s">
        <v>19</v>
      </c>
      <c r="F267">
        <v>6</v>
      </c>
      <c r="G267">
        <v>0.85</v>
      </c>
      <c r="H267" t="s">
        <v>40</v>
      </c>
      <c r="I267">
        <v>37564</v>
      </c>
      <c r="J267" t="s">
        <v>28</v>
      </c>
      <c r="K267" t="s">
        <v>21</v>
      </c>
      <c r="L267">
        <v>4.26</v>
      </c>
      <c r="M267">
        <v>4.4400000000000004</v>
      </c>
      <c r="N267">
        <v>4.76</v>
      </c>
      <c r="O267" t="s">
        <v>22</v>
      </c>
      <c r="P267" t="s">
        <v>23</v>
      </c>
      <c r="Q267" t="s">
        <v>24</v>
      </c>
    </row>
    <row r="268" spans="1:17" x14ac:dyDescent="0.35">
      <c r="A268">
        <v>267</v>
      </c>
      <c r="B268" t="s">
        <v>25</v>
      </c>
      <c r="C268">
        <v>17</v>
      </c>
      <c r="D268" t="s">
        <v>26</v>
      </c>
      <c r="E268" t="s">
        <v>19</v>
      </c>
      <c r="F268">
        <v>6</v>
      </c>
      <c r="G268">
        <v>0.73</v>
      </c>
      <c r="H268" t="s">
        <v>20</v>
      </c>
      <c r="I268">
        <v>38835</v>
      </c>
      <c r="J268" t="s">
        <v>28</v>
      </c>
      <c r="K268" t="s">
        <v>28</v>
      </c>
      <c r="L268">
        <v>3.87</v>
      </c>
      <c r="M268">
        <v>4.0599999999999996</v>
      </c>
      <c r="N268">
        <v>3.82</v>
      </c>
      <c r="O268" t="s">
        <v>34</v>
      </c>
      <c r="P268" t="s">
        <v>23</v>
      </c>
      <c r="Q268" t="s">
        <v>29</v>
      </c>
    </row>
    <row r="269" spans="1:17" x14ac:dyDescent="0.35">
      <c r="A269">
        <v>268</v>
      </c>
      <c r="B269" t="s">
        <v>25</v>
      </c>
      <c r="C269">
        <v>18</v>
      </c>
      <c r="D269" t="s">
        <v>33</v>
      </c>
      <c r="E269" t="s">
        <v>35</v>
      </c>
      <c r="F269">
        <v>7</v>
      </c>
      <c r="G269">
        <v>0.76</v>
      </c>
      <c r="H269" t="s">
        <v>27</v>
      </c>
      <c r="I269">
        <v>17697</v>
      </c>
      <c r="J269" t="s">
        <v>28</v>
      </c>
      <c r="K269" t="s">
        <v>28</v>
      </c>
      <c r="L269">
        <v>4.05</v>
      </c>
      <c r="M269">
        <v>3.84</v>
      </c>
      <c r="N269">
        <v>3.58</v>
      </c>
      <c r="O269" t="s">
        <v>34</v>
      </c>
      <c r="P269" t="s">
        <v>23</v>
      </c>
      <c r="Q269" t="s">
        <v>29</v>
      </c>
    </row>
    <row r="270" spans="1:17" x14ac:dyDescent="0.35">
      <c r="A270">
        <v>269</v>
      </c>
      <c r="B270" t="s">
        <v>17</v>
      </c>
      <c r="C270">
        <v>15</v>
      </c>
      <c r="D270" t="s">
        <v>39</v>
      </c>
      <c r="E270" t="s">
        <v>19</v>
      </c>
      <c r="F270">
        <v>12</v>
      </c>
      <c r="G270">
        <v>0.77</v>
      </c>
      <c r="H270" t="s">
        <v>27</v>
      </c>
      <c r="I270">
        <v>24629</v>
      </c>
      <c r="J270" t="s">
        <v>28</v>
      </c>
      <c r="K270" t="s">
        <v>28</v>
      </c>
      <c r="L270">
        <v>3.4</v>
      </c>
      <c r="M270">
        <v>4.8099999999999996</v>
      </c>
      <c r="N270">
        <v>3.03</v>
      </c>
      <c r="O270" t="s">
        <v>36</v>
      </c>
      <c r="P270" t="s">
        <v>23</v>
      </c>
      <c r="Q270" t="s">
        <v>29</v>
      </c>
    </row>
    <row r="271" spans="1:17" x14ac:dyDescent="0.35">
      <c r="A271">
        <v>270</v>
      </c>
      <c r="B271" t="s">
        <v>17</v>
      </c>
      <c r="C271">
        <v>16</v>
      </c>
      <c r="D271" t="s">
        <v>26</v>
      </c>
      <c r="E271" t="s">
        <v>19</v>
      </c>
      <c r="F271">
        <v>28</v>
      </c>
      <c r="G271">
        <v>0.88</v>
      </c>
      <c r="H271" t="s">
        <v>27</v>
      </c>
      <c r="I271">
        <v>18386</v>
      </c>
      <c r="J271" t="s">
        <v>28</v>
      </c>
      <c r="K271" t="s">
        <v>21</v>
      </c>
      <c r="L271">
        <v>4.5</v>
      </c>
      <c r="M271">
        <v>4.72</v>
      </c>
      <c r="N271">
        <v>4.1500000000000004</v>
      </c>
      <c r="O271" t="s">
        <v>34</v>
      </c>
      <c r="P271" t="s">
        <v>32</v>
      </c>
      <c r="Q271" t="s">
        <v>29</v>
      </c>
    </row>
    <row r="272" spans="1:17" x14ac:dyDescent="0.35">
      <c r="A272">
        <v>271</v>
      </c>
      <c r="B272" t="s">
        <v>25</v>
      </c>
      <c r="C272">
        <v>16</v>
      </c>
      <c r="D272" t="s">
        <v>39</v>
      </c>
      <c r="E272" t="s">
        <v>35</v>
      </c>
      <c r="F272">
        <v>19</v>
      </c>
      <c r="G272">
        <v>0.79</v>
      </c>
      <c r="H272" t="s">
        <v>27</v>
      </c>
      <c r="I272">
        <v>27046</v>
      </c>
      <c r="J272" t="s">
        <v>28</v>
      </c>
      <c r="K272" t="s">
        <v>28</v>
      </c>
      <c r="L272">
        <v>4.49</v>
      </c>
      <c r="M272">
        <v>3.85</v>
      </c>
      <c r="N272">
        <v>3.8</v>
      </c>
      <c r="O272" t="s">
        <v>34</v>
      </c>
      <c r="P272" t="s">
        <v>32</v>
      </c>
      <c r="Q272" t="s">
        <v>29</v>
      </c>
    </row>
    <row r="273" spans="1:17" x14ac:dyDescent="0.35">
      <c r="A273">
        <v>272</v>
      </c>
      <c r="B273" t="s">
        <v>25</v>
      </c>
      <c r="C273">
        <v>16</v>
      </c>
      <c r="D273" t="s">
        <v>39</v>
      </c>
      <c r="E273" t="s">
        <v>35</v>
      </c>
      <c r="F273">
        <v>11</v>
      </c>
      <c r="G273">
        <v>0.86</v>
      </c>
      <c r="H273" t="s">
        <v>27</v>
      </c>
      <c r="I273">
        <v>18044</v>
      </c>
      <c r="J273" t="s">
        <v>21</v>
      </c>
      <c r="K273" t="s">
        <v>21</v>
      </c>
      <c r="L273">
        <v>3.29</v>
      </c>
      <c r="M273">
        <v>3.8</v>
      </c>
      <c r="N273">
        <v>3.75</v>
      </c>
      <c r="O273" t="s">
        <v>34</v>
      </c>
      <c r="P273" t="s">
        <v>23</v>
      </c>
      <c r="Q273" t="s">
        <v>24</v>
      </c>
    </row>
    <row r="274" spans="1:17" x14ac:dyDescent="0.35">
      <c r="A274">
        <v>273</v>
      </c>
      <c r="B274" t="s">
        <v>25</v>
      </c>
      <c r="C274">
        <v>17</v>
      </c>
      <c r="D274" t="s">
        <v>41</v>
      </c>
      <c r="E274" t="s">
        <v>19</v>
      </c>
      <c r="F274">
        <v>10</v>
      </c>
      <c r="G274">
        <v>0.77</v>
      </c>
      <c r="H274" t="s">
        <v>40</v>
      </c>
      <c r="I274">
        <v>19615</v>
      </c>
      <c r="J274" t="s">
        <v>21</v>
      </c>
      <c r="K274" t="s">
        <v>28</v>
      </c>
      <c r="L274">
        <v>4.76</v>
      </c>
      <c r="M274">
        <v>4.57</v>
      </c>
      <c r="N274">
        <v>3.37</v>
      </c>
      <c r="O274" t="s">
        <v>36</v>
      </c>
      <c r="P274" t="s">
        <v>23</v>
      </c>
      <c r="Q274" t="s">
        <v>29</v>
      </c>
    </row>
    <row r="275" spans="1:17" x14ac:dyDescent="0.35">
      <c r="A275">
        <v>274</v>
      </c>
      <c r="B275" t="s">
        <v>25</v>
      </c>
      <c r="C275">
        <v>17</v>
      </c>
      <c r="D275" t="s">
        <v>42</v>
      </c>
      <c r="E275" t="s">
        <v>35</v>
      </c>
      <c r="F275">
        <v>13</v>
      </c>
      <c r="G275">
        <v>0.63</v>
      </c>
      <c r="H275" t="s">
        <v>31</v>
      </c>
      <c r="I275">
        <v>57802</v>
      </c>
      <c r="J275" t="s">
        <v>28</v>
      </c>
      <c r="K275" t="s">
        <v>28</v>
      </c>
      <c r="L275">
        <v>3.54</v>
      </c>
      <c r="M275">
        <v>3.97</v>
      </c>
      <c r="N275">
        <v>3.86</v>
      </c>
      <c r="O275" t="s">
        <v>34</v>
      </c>
      <c r="P275" t="s">
        <v>23</v>
      </c>
      <c r="Q275" t="s">
        <v>24</v>
      </c>
    </row>
    <row r="276" spans="1:17" x14ac:dyDescent="0.35">
      <c r="A276">
        <v>275</v>
      </c>
      <c r="B276" t="s">
        <v>17</v>
      </c>
      <c r="C276">
        <v>17</v>
      </c>
      <c r="D276" t="s">
        <v>33</v>
      </c>
      <c r="E276" t="s">
        <v>19</v>
      </c>
      <c r="F276">
        <v>24</v>
      </c>
      <c r="G276">
        <v>0.6</v>
      </c>
      <c r="H276" t="s">
        <v>27</v>
      </c>
      <c r="I276">
        <v>15060</v>
      </c>
      <c r="J276" t="s">
        <v>21</v>
      </c>
      <c r="K276" t="s">
        <v>21</v>
      </c>
      <c r="L276">
        <v>4.96</v>
      </c>
      <c r="M276">
        <v>3.96</v>
      </c>
      <c r="N276">
        <v>4.97</v>
      </c>
      <c r="O276" t="s">
        <v>22</v>
      </c>
      <c r="P276" t="s">
        <v>32</v>
      </c>
      <c r="Q276" t="s">
        <v>24</v>
      </c>
    </row>
    <row r="277" spans="1:17" x14ac:dyDescent="0.35">
      <c r="A277">
        <v>276</v>
      </c>
      <c r="B277" t="s">
        <v>25</v>
      </c>
      <c r="C277">
        <v>18</v>
      </c>
      <c r="D277" t="s">
        <v>39</v>
      </c>
      <c r="E277" t="s">
        <v>19</v>
      </c>
      <c r="F277">
        <v>5</v>
      </c>
      <c r="G277">
        <v>0.6</v>
      </c>
      <c r="H277" t="s">
        <v>27</v>
      </c>
      <c r="I277">
        <v>20900</v>
      </c>
      <c r="J277" t="s">
        <v>28</v>
      </c>
      <c r="K277" t="s">
        <v>28</v>
      </c>
      <c r="L277">
        <v>3.77</v>
      </c>
      <c r="M277">
        <v>3.73</v>
      </c>
      <c r="N277">
        <v>3.6</v>
      </c>
      <c r="O277" t="s">
        <v>34</v>
      </c>
      <c r="P277" t="s">
        <v>23</v>
      </c>
      <c r="Q277" t="s">
        <v>29</v>
      </c>
    </row>
    <row r="278" spans="1:17" x14ac:dyDescent="0.35">
      <c r="A278">
        <v>277</v>
      </c>
      <c r="B278" t="s">
        <v>17</v>
      </c>
      <c r="C278">
        <v>15</v>
      </c>
      <c r="D278" t="s">
        <v>33</v>
      </c>
      <c r="E278" t="s">
        <v>35</v>
      </c>
      <c r="F278">
        <v>12</v>
      </c>
      <c r="G278">
        <v>0.85</v>
      </c>
      <c r="H278" t="s">
        <v>20</v>
      </c>
      <c r="I278">
        <v>15581</v>
      </c>
      <c r="J278" t="s">
        <v>21</v>
      </c>
      <c r="K278" t="s">
        <v>28</v>
      </c>
      <c r="L278">
        <v>3.36</v>
      </c>
      <c r="M278">
        <v>3.9</v>
      </c>
      <c r="N278">
        <v>4.2</v>
      </c>
      <c r="O278" t="s">
        <v>34</v>
      </c>
      <c r="P278" t="s">
        <v>23</v>
      </c>
      <c r="Q278" t="s">
        <v>24</v>
      </c>
    </row>
    <row r="279" spans="1:17" x14ac:dyDescent="0.35">
      <c r="A279">
        <v>278</v>
      </c>
      <c r="B279" t="s">
        <v>25</v>
      </c>
      <c r="C279">
        <v>17</v>
      </c>
      <c r="D279" t="s">
        <v>30</v>
      </c>
      <c r="E279" t="s">
        <v>19</v>
      </c>
      <c r="F279">
        <v>27</v>
      </c>
      <c r="G279">
        <v>0.79</v>
      </c>
      <c r="H279" t="s">
        <v>40</v>
      </c>
      <c r="I279">
        <v>44782</v>
      </c>
      <c r="J279" t="s">
        <v>28</v>
      </c>
      <c r="K279" t="s">
        <v>21</v>
      </c>
      <c r="L279">
        <v>3.7</v>
      </c>
      <c r="M279">
        <v>4.1399999999999997</v>
      </c>
      <c r="N279">
        <v>4.55</v>
      </c>
      <c r="O279" t="s">
        <v>22</v>
      </c>
      <c r="P279" t="s">
        <v>32</v>
      </c>
      <c r="Q279" t="s">
        <v>24</v>
      </c>
    </row>
    <row r="280" spans="1:17" x14ac:dyDescent="0.35">
      <c r="A280">
        <v>279</v>
      </c>
      <c r="B280" t="s">
        <v>17</v>
      </c>
      <c r="C280">
        <v>15</v>
      </c>
      <c r="D280" t="s">
        <v>39</v>
      </c>
      <c r="E280" t="s">
        <v>19</v>
      </c>
      <c r="F280">
        <v>27</v>
      </c>
      <c r="G280">
        <v>0.82</v>
      </c>
      <c r="H280" t="s">
        <v>40</v>
      </c>
      <c r="I280">
        <v>30173</v>
      </c>
      <c r="J280" t="s">
        <v>21</v>
      </c>
      <c r="K280" t="s">
        <v>21</v>
      </c>
      <c r="L280">
        <v>3.88</v>
      </c>
      <c r="M280">
        <v>4.5999999999999996</v>
      </c>
      <c r="N280">
        <v>4.5</v>
      </c>
      <c r="O280" t="s">
        <v>22</v>
      </c>
      <c r="P280" t="s">
        <v>32</v>
      </c>
      <c r="Q280" t="s">
        <v>24</v>
      </c>
    </row>
    <row r="281" spans="1:17" x14ac:dyDescent="0.35">
      <c r="A281">
        <v>280</v>
      </c>
      <c r="B281" t="s">
        <v>25</v>
      </c>
      <c r="C281">
        <v>18</v>
      </c>
      <c r="D281" t="s">
        <v>37</v>
      </c>
      <c r="E281" t="s">
        <v>19</v>
      </c>
      <c r="F281">
        <v>7</v>
      </c>
      <c r="G281">
        <v>0.69</v>
      </c>
      <c r="H281" t="s">
        <v>31</v>
      </c>
      <c r="I281">
        <v>22997</v>
      </c>
      <c r="J281" t="s">
        <v>21</v>
      </c>
      <c r="K281" t="s">
        <v>21</v>
      </c>
      <c r="L281">
        <v>3.14</v>
      </c>
      <c r="M281">
        <v>4</v>
      </c>
      <c r="N281">
        <v>3.66</v>
      </c>
      <c r="O281" t="s">
        <v>34</v>
      </c>
      <c r="P281" t="s">
        <v>23</v>
      </c>
      <c r="Q281" t="s">
        <v>24</v>
      </c>
    </row>
    <row r="282" spans="1:17" x14ac:dyDescent="0.35">
      <c r="A282">
        <v>281</v>
      </c>
      <c r="B282" t="s">
        <v>25</v>
      </c>
      <c r="C282">
        <v>16</v>
      </c>
      <c r="D282" t="s">
        <v>42</v>
      </c>
      <c r="E282" t="s">
        <v>19</v>
      </c>
      <c r="F282">
        <v>8</v>
      </c>
      <c r="G282">
        <v>0.7</v>
      </c>
      <c r="H282" t="s">
        <v>40</v>
      </c>
      <c r="I282">
        <v>53403</v>
      </c>
      <c r="J282" t="s">
        <v>21</v>
      </c>
      <c r="K282" t="s">
        <v>28</v>
      </c>
      <c r="L282">
        <v>4.16</v>
      </c>
      <c r="M282">
        <v>3.99</v>
      </c>
      <c r="N282">
        <v>4.22</v>
      </c>
      <c r="O282" t="s">
        <v>34</v>
      </c>
      <c r="P282" t="s">
        <v>23</v>
      </c>
      <c r="Q282" t="s">
        <v>24</v>
      </c>
    </row>
    <row r="283" spans="1:17" x14ac:dyDescent="0.35">
      <c r="A283">
        <v>282</v>
      </c>
      <c r="B283" t="s">
        <v>25</v>
      </c>
      <c r="C283">
        <v>17</v>
      </c>
      <c r="D283" t="s">
        <v>37</v>
      </c>
      <c r="E283" t="s">
        <v>35</v>
      </c>
      <c r="F283">
        <v>29</v>
      </c>
      <c r="G283">
        <v>0.64</v>
      </c>
      <c r="H283" t="s">
        <v>20</v>
      </c>
      <c r="I283">
        <v>56416</v>
      </c>
      <c r="J283" t="s">
        <v>21</v>
      </c>
      <c r="K283" t="s">
        <v>21</v>
      </c>
      <c r="L283">
        <v>4.2</v>
      </c>
      <c r="M283">
        <v>3.93</v>
      </c>
      <c r="N283">
        <v>4.74</v>
      </c>
      <c r="O283" t="s">
        <v>22</v>
      </c>
      <c r="P283" t="s">
        <v>32</v>
      </c>
      <c r="Q283" t="s">
        <v>24</v>
      </c>
    </row>
    <row r="284" spans="1:17" x14ac:dyDescent="0.35">
      <c r="A284">
        <v>283</v>
      </c>
      <c r="B284" t="s">
        <v>25</v>
      </c>
      <c r="C284">
        <v>15</v>
      </c>
      <c r="D284" t="s">
        <v>33</v>
      </c>
      <c r="E284" t="s">
        <v>35</v>
      </c>
      <c r="F284">
        <v>19</v>
      </c>
      <c r="G284">
        <v>0.6</v>
      </c>
      <c r="H284" t="s">
        <v>20</v>
      </c>
      <c r="I284">
        <v>17148</v>
      </c>
      <c r="J284" t="s">
        <v>21</v>
      </c>
      <c r="K284" t="s">
        <v>21</v>
      </c>
      <c r="L284">
        <v>4.4800000000000004</v>
      </c>
      <c r="M284">
        <v>4.22</v>
      </c>
      <c r="N284">
        <v>3.03</v>
      </c>
      <c r="O284" t="s">
        <v>36</v>
      </c>
      <c r="P284" t="s">
        <v>32</v>
      </c>
      <c r="Q284" t="s">
        <v>29</v>
      </c>
    </row>
    <row r="285" spans="1:17" x14ac:dyDescent="0.35">
      <c r="A285">
        <v>284</v>
      </c>
      <c r="B285" t="s">
        <v>17</v>
      </c>
      <c r="C285">
        <v>15</v>
      </c>
      <c r="D285" t="s">
        <v>33</v>
      </c>
      <c r="E285" t="s">
        <v>19</v>
      </c>
      <c r="F285">
        <v>10</v>
      </c>
      <c r="G285">
        <v>0.76</v>
      </c>
      <c r="H285" t="s">
        <v>31</v>
      </c>
      <c r="I285">
        <v>28748</v>
      </c>
      <c r="J285" t="s">
        <v>28</v>
      </c>
      <c r="K285" t="s">
        <v>28</v>
      </c>
      <c r="L285">
        <v>3.06</v>
      </c>
      <c r="M285">
        <v>3.77</v>
      </c>
      <c r="N285">
        <v>3.87</v>
      </c>
      <c r="O285" t="s">
        <v>34</v>
      </c>
      <c r="P285" t="s">
        <v>23</v>
      </c>
      <c r="Q285" t="s">
        <v>24</v>
      </c>
    </row>
    <row r="286" spans="1:17" x14ac:dyDescent="0.35">
      <c r="A286">
        <v>285</v>
      </c>
      <c r="B286" t="s">
        <v>25</v>
      </c>
      <c r="C286">
        <v>17</v>
      </c>
      <c r="D286" t="s">
        <v>42</v>
      </c>
      <c r="E286" t="s">
        <v>35</v>
      </c>
      <c r="F286">
        <v>19</v>
      </c>
      <c r="G286">
        <v>0.81</v>
      </c>
      <c r="H286" t="s">
        <v>20</v>
      </c>
      <c r="I286">
        <v>24022</v>
      </c>
      <c r="J286" t="s">
        <v>28</v>
      </c>
      <c r="K286" t="s">
        <v>21</v>
      </c>
      <c r="L286">
        <v>4.08</v>
      </c>
      <c r="M286">
        <v>4.2300000000000004</v>
      </c>
      <c r="N286">
        <v>3.45</v>
      </c>
      <c r="O286" t="s">
        <v>36</v>
      </c>
      <c r="P286" t="s">
        <v>32</v>
      </c>
      <c r="Q286" t="s">
        <v>29</v>
      </c>
    </row>
    <row r="287" spans="1:17" x14ac:dyDescent="0.35">
      <c r="A287">
        <v>286</v>
      </c>
      <c r="B287" t="s">
        <v>17</v>
      </c>
      <c r="C287">
        <v>16</v>
      </c>
      <c r="D287" t="s">
        <v>33</v>
      </c>
      <c r="E287" t="s">
        <v>19</v>
      </c>
      <c r="F287">
        <v>25</v>
      </c>
      <c r="G287">
        <v>0.93</v>
      </c>
      <c r="H287" t="s">
        <v>27</v>
      </c>
      <c r="I287">
        <v>30013</v>
      </c>
      <c r="J287" t="s">
        <v>28</v>
      </c>
      <c r="K287" t="s">
        <v>28</v>
      </c>
      <c r="L287">
        <v>3.11</v>
      </c>
      <c r="M287">
        <v>4.5599999999999996</v>
      </c>
      <c r="N287">
        <v>3.78</v>
      </c>
      <c r="O287" t="s">
        <v>34</v>
      </c>
      <c r="P287" t="s">
        <v>32</v>
      </c>
      <c r="Q287" t="s">
        <v>24</v>
      </c>
    </row>
    <row r="288" spans="1:17" x14ac:dyDescent="0.35">
      <c r="A288">
        <v>287</v>
      </c>
      <c r="B288" t="s">
        <v>17</v>
      </c>
      <c r="C288">
        <v>16</v>
      </c>
      <c r="D288" t="s">
        <v>37</v>
      </c>
      <c r="E288" t="s">
        <v>19</v>
      </c>
      <c r="F288">
        <v>7</v>
      </c>
      <c r="G288">
        <v>0.88</v>
      </c>
      <c r="H288" t="s">
        <v>27</v>
      </c>
      <c r="I288">
        <v>48687</v>
      </c>
      <c r="J288" t="s">
        <v>21</v>
      </c>
      <c r="K288" t="s">
        <v>28</v>
      </c>
      <c r="L288">
        <v>4.4000000000000004</v>
      </c>
      <c r="M288">
        <v>3.54</v>
      </c>
      <c r="N288">
        <v>3.83</v>
      </c>
      <c r="O288" t="s">
        <v>34</v>
      </c>
      <c r="P288" t="s">
        <v>23</v>
      </c>
      <c r="Q288" t="s">
        <v>29</v>
      </c>
    </row>
    <row r="289" spans="1:17" x14ac:dyDescent="0.35">
      <c r="A289">
        <v>288</v>
      </c>
      <c r="B289" t="s">
        <v>17</v>
      </c>
      <c r="C289">
        <v>16</v>
      </c>
      <c r="D289" t="s">
        <v>39</v>
      </c>
      <c r="E289" t="s">
        <v>19</v>
      </c>
      <c r="F289">
        <v>29</v>
      </c>
      <c r="G289">
        <v>0.63</v>
      </c>
      <c r="H289" t="s">
        <v>20</v>
      </c>
      <c r="I289">
        <v>25886</v>
      </c>
      <c r="J289" t="s">
        <v>28</v>
      </c>
      <c r="K289" t="s">
        <v>21</v>
      </c>
      <c r="L289">
        <v>3.11</v>
      </c>
      <c r="M289">
        <v>3.51</v>
      </c>
      <c r="N289">
        <v>4.49</v>
      </c>
      <c r="O289" t="s">
        <v>34</v>
      </c>
      <c r="P289" t="s">
        <v>32</v>
      </c>
      <c r="Q289" t="s">
        <v>24</v>
      </c>
    </row>
    <row r="290" spans="1:17" x14ac:dyDescent="0.35">
      <c r="A290">
        <v>289</v>
      </c>
      <c r="B290" t="s">
        <v>17</v>
      </c>
      <c r="C290">
        <v>18</v>
      </c>
      <c r="D290" t="s">
        <v>39</v>
      </c>
      <c r="E290" t="s">
        <v>19</v>
      </c>
      <c r="F290">
        <v>25</v>
      </c>
      <c r="G290">
        <v>0.64</v>
      </c>
      <c r="H290" t="s">
        <v>31</v>
      </c>
      <c r="I290">
        <v>35256</v>
      </c>
      <c r="J290" t="s">
        <v>21</v>
      </c>
      <c r="K290" t="s">
        <v>28</v>
      </c>
      <c r="L290">
        <v>4.82</v>
      </c>
      <c r="M290">
        <v>3.61</v>
      </c>
      <c r="N290">
        <v>3.19</v>
      </c>
      <c r="O290" t="s">
        <v>36</v>
      </c>
      <c r="P290" t="s">
        <v>32</v>
      </c>
      <c r="Q290" t="s">
        <v>29</v>
      </c>
    </row>
    <row r="291" spans="1:17" x14ac:dyDescent="0.35">
      <c r="A291">
        <v>290</v>
      </c>
      <c r="B291" t="s">
        <v>25</v>
      </c>
      <c r="C291">
        <v>15</v>
      </c>
      <c r="D291" t="s">
        <v>41</v>
      </c>
      <c r="E291" t="s">
        <v>19</v>
      </c>
      <c r="F291">
        <v>25</v>
      </c>
      <c r="G291">
        <v>0.7</v>
      </c>
      <c r="H291" t="s">
        <v>40</v>
      </c>
      <c r="I291">
        <v>40005</v>
      </c>
      <c r="J291" t="s">
        <v>21</v>
      </c>
      <c r="K291" t="s">
        <v>21</v>
      </c>
      <c r="L291">
        <v>4.4000000000000004</v>
      </c>
      <c r="M291">
        <v>4.3</v>
      </c>
      <c r="N291">
        <v>4.03</v>
      </c>
      <c r="O291" t="s">
        <v>34</v>
      </c>
      <c r="P291" t="s">
        <v>32</v>
      </c>
      <c r="Q291" t="s">
        <v>29</v>
      </c>
    </row>
    <row r="292" spans="1:17" x14ac:dyDescent="0.35">
      <c r="A292">
        <v>291</v>
      </c>
      <c r="B292" t="s">
        <v>17</v>
      </c>
      <c r="C292">
        <v>15</v>
      </c>
      <c r="D292" t="s">
        <v>30</v>
      </c>
      <c r="E292" t="s">
        <v>35</v>
      </c>
      <c r="F292">
        <v>18</v>
      </c>
      <c r="G292">
        <v>0.8</v>
      </c>
      <c r="H292" t="s">
        <v>31</v>
      </c>
      <c r="I292">
        <v>16638</v>
      </c>
      <c r="J292" t="s">
        <v>21</v>
      </c>
      <c r="K292" t="s">
        <v>21</v>
      </c>
      <c r="L292">
        <v>4.01</v>
      </c>
      <c r="M292">
        <v>4.78</v>
      </c>
      <c r="N292">
        <v>4.13</v>
      </c>
      <c r="O292" t="s">
        <v>34</v>
      </c>
      <c r="P292" t="s">
        <v>32</v>
      </c>
      <c r="Q292" t="s">
        <v>24</v>
      </c>
    </row>
    <row r="293" spans="1:17" x14ac:dyDescent="0.35">
      <c r="A293">
        <v>292</v>
      </c>
      <c r="B293" t="s">
        <v>17</v>
      </c>
      <c r="C293">
        <v>15</v>
      </c>
      <c r="D293" t="s">
        <v>33</v>
      </c>
      <c r="E293" t="s">
        <v>19</v>
      </c>
      <c r="F293">
        <v>24</v>
      </c>
      <c r="G293">
        <v>0.94</v>
      </c>
      <c r="H293" t="s">
        <v>40</v>
      </c>
      <c r="I293">
        <v>47419</v>
      </c>
      <c r="J293" t="s">
        <v>28</v>
      </c>
      <c r="K293" t="s">
        <v>21</v>
      </c>
      <c r="L293">
        <v>3.88</v>
      </c>
      <c r="M293">
        <v>3.51</v>
      </c>
      <c r="N293">
        <v>3.99</v>
      </c>
      <c r="O293" t="s">
        <v>34</v>
      </c>
      <c r="P293" t="s">
        <v>32</v>
      </c>
      <c r="Q293" t="s">
        <v>24</v>
      </c>
    </row>
    <row r="294" spans="1:17" x14ac:dyDescent="0.35">
      <c r="A294">
        <v>293</v>
      </c>
      <c r="B294" t="s">
        <v>17</v>
      </c>
      <c r="C294">
        <v>18</v>
      </c>
      <c r="D294" t="s">
        <v>37</v>
      </c>
      <c r="E294" t="s">
        <v>35</v>
      </c>
      <c r="F294">
        <v>18</v>
      </c>
      <c r="G294">
        <v>0.71</v>
      </c>
      <c r="H294" t="s">
        <v>20</v>
      </c>
      <c r="I294">
        <v>43377</v>
      </c>
      <c r="J294" t="s">
        <v>21</v>
      </c>
      <c r="K294" t="s">
        <v>21</v>
      </c>
      <c r="L294">
        <v>3.26</v>
      </c>
      <c r="M294">
        <v>4.9000000000000004</v>
      </c>
      <c r="N294">
        <v>4.46</v>
      </c>
      <c r="O294" t="s">
        <v>34</v>
      </c>
      <c r="P294" t="s">
        <v>32</v>
      </c>
      <c r="Q294" t="s">
        <v>24</v>
      </c>
    </row>
    <row r="295" spans="1:17" x14ac:dyDescent="0.35">
      <c r="A295">
        <v>294</v>
      </c>
      <c r="B295" t="s">
        <v>25</v>
      </c>
      <c r="C295">
        <v>15</v>
      </c>
      <c r="D295" t="s">
        <v>33</v>
      </c>
      <c r="E295" t="s">
        <v>35</v>
      </c>
      <c r="F295">
        <v>8</v>
      </c>
      <c r="G295">
        <v>0.85</v>
      </c>
      <c r="H295" t="s">
        <v>20</v>
      </c>
      <c r="I295">
        <v>50708</v>
      </c>
      <c r="J295" t="s">
        <v>28</v>
      </c>
      <c r="K295" t="s">
        <v>28</v>
      </c>
      <c r="L295">
        <v>3.58</v>
      </c>
      <c r="M295">
        <v>3.66</v>
      </c>
      <c r="N295">
        <v>3.77</v>
      </c>
      <c r="O295" t="s">
        <v>34</v>
      </c>
      <c r="P295" t="s">
        <v>23</v>
      </c>
      <c r="Q295" t="s">
        <v>24</v>
      </c>
    </row>
    <row r="296" spans="1:17" x14ac:dyDescent="0.35">
      <c r="A296">
        <v>295</v>
      </c>
      <c r="B296" t="s">
        <v>25</v>
      </c>
      <c r="C296">
        <v>18</v>
      </c>
      <c r="D296" t="s">
        <v>33</v>
      </c>
      <c r="E296" t="s">
        <v>19</v>
      </c>
      <c r="F296">
        <v>16</v>
      </c>
      <c r="G296">
        <v>0.78</v>
      </c>
      <c r="H296" t="s">
        <v>27</v>
      </c>
      <c r="I296">
        <v>53116</v>
      </c>
      <c r="J296" t="s">
        <v>28</v>
      </c>
      <c r="K296" t="s">
        <v>28</v>
      </c>
      <c r="L296">
        <v>4.74</v>
      </c>
      <c r="M296">
        <v>4.76</v>
      </c>
      <c r="N296">
        <v>4.8899999999999997</v>
      </c>
      <c r="O296" t="s">
        <v>22</v>
      </c>
      <c r="P296" t="s">
        <v>32</v>
      </c>
      <c r="Q296" t="s">
        <v>24</v>
      </c>
    </row>
    <row r="297" spans="1:17" x14ac:dyDescent="0.35">
      <c r="A297">
        <v>296</v>
      </c>
      <c r="B297" t="s">
        <v>25</v>
      </c>
      <c r="C297">
        <v>16</v>
      </c>
      <c r="D297" t="s">
        <v>26</v>
      </c>
      <c r="E297" t="s">
        <v>19</v>
      </c>
      <c r="F297">
        <v>21</v>
      </c>
      <c r="G297">
        <v>0.66</v>
      </c>
      <c r="H297" t="s">
        <v>40</v>
      </c>
      <c r="I297">
        <v>46634</v>
      </c>
      <c r="J297" t="s">
        <v>21</v>
      </c>
      <c r="K297" t="s">
        <v>21</v>
      </c>
      <c r="L297">
        <v>4.8099999999999996</v>
      </c>
      <c r="M297">
        <v>4.22</v>
      </c>
      <c r="N297">
        <v>3.96</v>
      </c>
      <c r="O297" t="s">
        <v>34</v>
      </c>
      <c r="P297" t="s">
        <v>32</v>
      </c>
      <c r="Q297" t="s">
        <v>29</v>
      </c>
    </row>
    <row r="298" spans="1:17" x14ac:dyDescent="0.35">
      <c r="A298">
        <v>297</v>
      </c>
      <c r="B298" t="s">
        <v>25</v>
      </c>
      <c r="C298">
        <v>17</v>
      </c>
      <c r="D298" t="s">
        <v>41</v>
      </c>
      <c r="E298" t="s">
        <v>19</v>
      </c>
      <c r="F298">
        <v>11</v>
      </c>
      <c r="G298">
        <v>0.66</v>
      </c>
      <c r="H298" t="s">
        <v>31</v>
      </c>
      <c r="I298">
        <v>26755</v>
      </c>
      <c r="J298" t="s">
        <v>21</v>
      </c>
      <c r="K298" t="s">
        <v>21</v>
      </c>
      <c r="L298">
        <v>3</v>
      </c>
      <c r="M298">
        <v>4.49</v>
      </c>
      <c r="N298">
        <v>4.1399999999999997</v>
      </c>
      <c r="O298" t="s">
        <v>34</v>
      </c>
      <c r="P298" t="s">
        <v>23</v>
      </c>
      <c r="Q298" t="s">
        <v>24</v>
      </c>
    </row>
    <row r="299" spans="1:17" x14ac:dyDescent="0.35">
      <c r="A299">
        <v>298</v>
      </c>
      <c r="B299" t="s">
        <v>17</v>
      </c>
      <c r="C299">
        <v>15</v>
      </c>
      <c r="D299" t="s">
        <v>37</v>
      </c>
      <c r="E299" t="s">
        <v>19</v>
      </c>
      <c r="F299">
        <v>13</v>
      </c>
      <c r="G299">
        <v>0.85</v>
      </c>
      <c r="H299" t="s">
        <v>20</v>
      </c>
      <c r="I299">
        <v>33382</v>
      </c>
      <c r="J299" t="s">
        <v>28</v>
      </c>
      <c r="K299" t="s">
        <v>28</v>
      </c>
      <c r="L299">
        <v>4.1900000000000004</v>
      </c>
      <c r="M299">
        <v>4.2699999999999996</v>
      </c>
      <c r="N299">
        <v>4.6500000000000004</v>
      </c>
      <c r="O299" t="s">
        <v>22</v>
      </c>
      <c r="P299" t="s">
        <v>23</v>
      </c>
      <c r="Q299" t="s">
        <v>24</v>
      </c>
    </row>
    <row r="300" spans="1:17" x14ac:dyDescent="0.35">
      <c r="A300">
        <v>299</v>
      </c>
      <c r="B300" t="s">
        <v>17</v>
      </c>
      <c r="C300">
        <v>15</v>
      </c>
      <c r="D300" t="s">
        <v>37</v>
      </c>
      <c r="E300" t="s">
        <v>19</v>
      </c>
      <c r="F300">
        <v>7</v>
      </c>
      <c r="G300">
        <v>0.99</v>
      </c>
      <c r="H300" t="s">
        <v>31</v>
      </c>
      <c r="I300">
        <v>59767</v>
      </c>
      <c r="J300" t="s">
        <v>28</v>
      </c>
      <c r="K300" t="s">
        <v>21</v>
      </c>
      <c r="L300">
        <v>4.4400000000000004</v>
      </c>
      <c r="M300">
        <v>4.22</v>
      </c>
      <c r="N300">
        <v>3.55</v>
      </c>
      <c r="O300" t="s">
        <v>34</v>
      </c>
      <c r="P300" t="s">
        <v>23</v>
      </c>
      <c r="Q300" t="s">
        <v>29</v>
      </c>
    </row>
    <row r="301" spans="1:17" x14ac:dyDescent="0.35">
      <c r="A301">
        <v>300</v>
      </c>
      <c r="B301" t="s">
        <v>25</v>
      </c>
      <c r="C301">
        <v>16</v>
      </c>
      <c r="D301" t="s">
        <v>33</v>
      </c>
      <c r="E301" t="s">
        <v>35</v>
      </c>
      <c r="F301">
        <v>17</v>
      </c>
      <c r="G301">
        <v>0.64</v>
      </c>
      <c r="H301" t="s">
        <v>27</v>
      </c>
      <c r="I301">
        <v>32394</v>
      </c>
      <c r="J301" t="s">
        <v>28</v>
      </c>
      <c r="K301" t="s">
        <v>28</v>
      </c>
      <c r="L301">
        <v>4.24</v>
      </c>
      <c r="M301">
        <v>4.75</v>
      </c>
      <c r="N301">
        <v>3.15</v>
      </c>
      <c r="O301" t="s">
        <v>36</v>
      </c>
      <c r="P301" t="s">
        <v>32</v>
      </c>
      <c r="Q301" t="s">
        <v>29</v>
      </c>
    </row>
    <row r="302" spans="1:17" x14ac:dyDescent="0.35">
      <c r="A302">
        <v>301</v>
      </c>
      <c r="B302" t="s">
        <v>17</v>
      </c>
      <c r="C302">
        <v>17</v>
      </c>
      <c r="D302" t="s">
        <v>41</v>
      </c>
      <c r="E302" t="s">
        <v>19</v>
      </c>
      <c r="F302">
        <v>19</v>
      </c>
      <c r="G302">
        <v>0.8</v>
      </c>
      <c r="H302" t="s">
        <v>40</v>
      </c>
      <c r="I302">
        <v>12253</v>
      </c>
      <c r="J302" t="s">
        <v>28</v>
      </c>
      <c r="K302" t="s">
        <v>21</v>
      </c>
      <c r="L302">
        <v>3.16</v>
      </c>
      <c r="M302">
        <v>4.63</v>
      </c>
      <c r="N302">
        <v>4.42</v>
      </c>
      <c r="O302" t="s">
        <v>34</v>
      </c>
      <c r="P302" t="s">
        <v>32</v>
      </c>
      <c r="Q302" t="s">
        <v>24</v>
      </c>
    </row>
    <row r="303" spans="1:17" x14ac:dyDescent="0.35">
      <c r="A303">
        <v>302</v>
      </c>
      <c r="B303" t="s">
        <v>17</v>
      </c>
      <c r="C303">
        <v>18</v>
      </c>
      <c r="D303" t="s">
        <v>39</v>
      </c>
      <c r="E303" t="s">
        <v>19</v>
      </c>
      <c r="F303">
        <v>22</v>
      </c>
      <c r="G303">
        <v>0.73</v>
      </c>
      <c r="H303" t="s">
        <v>40</v>
      </c>
      <c r="I303">
        <v>47710</v>
      </c>
      <c r="J303" t="s">
        <v>28</v>
      </c>
      <c r="K303" t="s">
        <v>28</v>
      </c>
      <c r="L303">
        <v>3.44</v>
      </c>
      <c r="M303">
        <v>4.2300000000000004</v>
      </c>
      <c r="N303">
        <v>3.97</v>
      </c>
      <c r="O303" t="s">
        <v>34</v>
      </c>
      <c r="P303" t="s">
        <v>32</v>
      </c>
      <c r="Q303" t="s">
        <v>24</v>
      </c>
    </row>
    <row r="304" spans="1:17" x14ac:dyDescent="0.35">
      <c r="A304">
        <v>303</v>
      </c>
      <c r="B304" t="s">
        <v>17</v>
      </c>
      <c r="C304">
        <v>17</v>
      </c>
      <c r="D304" t="s">
        <v>37</v>
      </c>
      <c r="E304" t="s">
        <v>35</v>
      </c>
      <c r="F304">
        <v>23</v>
      </c>
      <c r="G304">
        <v>0.63</v>
      </c>
      <c r="H304" t="s">
        <v>20</v>
      </c>
      <c r="I304">
        <v>55098</v>
      </c>
      <c r="J304" t="s">
        <v>28</v>
      </c>
      <c r="K304" t="s">
        <v>28</v>
      </c>
      <c r="L304">
        <v>3.5</v>
      </c>
      <c r="M304">
        <v>3.67</v>
      </c>
      <c r="N304">
        <v>4.79</v>
      </c>
      <c r="O304" t="s">
        <v>22</v>
      </c>
      <c r="P304" t="s">
        <v>32</v>
      </c>
      <c r="Q304" t="s">
        <v>24</v>
      </c>
    </row>
    <row r="305" spans="1:17" x14ac:dyDescent="0.35">
      <c r="A305">
        <v>304</v>
      </c>
      <c r="B305" t="s">
        <v>25</v>
      </c>
      <c r="C305">
        <v>16</v>
      </c>
      <c r="D305" t="s">
        <v>39</v>
      </c>
      <c r="E305" t="s">
        <v>35</v>
      </c>
      <c r="F305">
        <v>5</v>
      </c>
      <c r="G305">
        <v>0.82</v>
      </c>
      <c r="H305" t="s">
        <v>40</v>
      </c>
      <c r="I305">
        <v>10864</v>
      </c>
      <c r="J305" t="s">
        <v>21</v>
      </c>
      <c r="K305" t="s">
        <v>28</v>
      </c>
      <c r="L305">
        <v>4.66</v>
      </c>
      <c r="M305">
        <v>3.67</v>
      </c>
      <c r="N305">
        <v>4.97</v>
      </c>
      <c r="O305" t="s">
        <v>22</v>
      </c>
      <c r="P305" t="s">
        <v>23</v>
      </c>
      <c r="Q305" t="s">
        <v>24</v>
      </c>
    </row>
    <row r="306" spans="1:17" x14ac:dyDescent="0.35">
      <c r="A306">
        <v>305</v>
      </c>
      <c r="B306" t="s">
        <v>25</v>
      </c>
      <c r="C306">
        <v>16</v>
      </c>
      <c r="D306" t="s">
        <v>41</v>
      </c>
      <c r="E306" t="s">
        <v>19</v>
      </c>
      <c r="F306">
        <v>10</v>
      </c>
      <c r="G306">
        <v>0.79</v>
      </c>
      <c r="H306" t="s">
        <v>20</v>
      </c>
      <c r="I306">
        <v>44036</v>
      </c>
      <c r="J306" t="s">
        <v>28</v>
      </c>
      <c r="K306" t="s">
        <v>21</v>
      </c>
      <c r="L306">
        <v>3.93</v>
      </c>
      <c r="M306">
        <v>4.7</v>
      </c>
      <c r="N306">
        <v>3.8</v>
      </c>
      <c r="O306" t="s">
        <v>34</v>
      </c>
      <c r="P306" t="s">
        <v>23</v>
      </c>
      <c r="Q306" t="s">
        <v>29</v>
      </c>
    </row>
    <row r="307" spans="1:17" x14ac:dyDescent="0.35">
      <c r="A307">
        <v>306</v>
      </c>
      <c r="B307" t="s">
        <v>17</v>
      </c>
      <c r="C307">
        <v>17</v>
      </c>
      <c r="D307" t="s">
        <v>39</v>
      </c>
      <c r="E307" t="s">
        <v>35</v>
      </c>
      <c r="F307">
        <v>27</v>
      </c>
      <c r="G307">
        <v>0.74</v>
      </c>
      <c r="H307" t="s">
        <v>27</v>
      </c>
      <c r="I307">
        <v>50222</v>
      </c>
      <c r="J307" t="s">
        <v>28</v>
      </c>
      <c r="K307" t="s">
        <v>21</v>
      </c>
      <c r="L307">
        <v>3.97</v>
      </c>
      <c r="M307">
        <v>4.29</v>
      </c>
      <c r="N307">
        <v>3.83</v>
      </c>
      <c r="O307" t="s">
        <v>34</v>
      </c>
      <c r="P307" t="s">
        <v>32</v>
      </c>
      <c r="Q307" t="s">
        <v>29</v>
      </c>
    </row>
    <row r="308" spans="1:17" x14ac:dyDescent="0.35">
      <c r="A308">
        <v>307</v>
      </c>
      <c r="B308" t="s">
        <v>25</v>
      </c>
      <c r="C308">
        <v>18</v>
      </c>
      <c r="D308" t="s">
        <v>42</v>
      </c>
      <c r="E308" t="s">
        <v>19</v>
      </c>
      <c r="F308">
        <v>6</v>
      </c>
      <c r="G308">
        <v>0.88</v>
      </c>
      <c r="H308" t="s">
        <v>40</v>
      </c>
      <c r="I308">
        <v>23666</v>
      </c>
      <c r="J308" t="s">
        <v>28</v>
      </c>
      <c r="K308" t="s">
        <v>21</v>
      </c>
      <c r="L308">
        <v>4.87</v>
      </c>
      <c r="M308">
        <v>4.22</v>
      </c>
      <c r="N308">
        <v>3.82</v>
      </c>
      <c r="O308" t="s">
        <v>34</v>
      </c>
      <c r="P308" t="s">
        <v>23</v>
      </c>
      <c r="Q308" t="s">
        <v>29</v>
      </c>
    </row>
    <row r="309" spans="1:17" x14ac:dyDescent="0.35">
      <c r="A309">
        <v>308</v>
      </c>
      <c r="B309" t="s">
        <v>25</v>
      </c>
      <c r="C309">
        <v>18</v>
      </c>
      <c r="D309" t="s">
        <v>26</v>
      </c>
      <c r="E309" t="s">
        <v>35</v>
      </c>
      <c r="F309">
        <v>28</v>
      </c>
      <c r="G309">
        <v>0.67</v>
      </c>
      <c r="H309" t="s">
        <v>20</v>
      </c>
      <c r="I309">
        <v>30955</v>
      </c>
      <c r="J309" t="s">
        <v>28</v>
      </c>
      <c r="K309" t="s">
        <v>21</v>
      </c>
      <c r="L309">
        <v>4.2699999999999996</v>
      </c>
      <c r="M309">
        <v>4.5199999999999996</v>
      </c>
      <c r="N309">
        <v>3.65</v>
      </c>
      <c r="O309" t="s">
        <v>34</v>
      </c>
      <c r="P309" t="s">
        <v>32</v>
      </c>
      <c r="Q309" t="s">
        <v>29</v>
      </c>
    </row>
    <row r="310" spans="1:17" x14ac:dyDescent="0.35">
      <c r="A310">
        <v>309</v>
      </c>
      <c r="B310" t="s">
        <v>25</v>
      </c>
      <c r="C310">
        <v>15</v>
      </c>
      <c r="D310" t="s">
        <v>18</v>
      </c>
      <c r="E310" t="s">
        <v>35</v>
      </c>
      <c r="F310">
        <v>18</v>
      </c>
      <c r="G310">
        <v>0.78</v>
      </c>
      <c r="H310" t="s">
        <v>31</v>
      </c>
      <c r="I310">
        <v>55138</v>
      </c>
      <c r="J310" t="s">
        <v>21</v>
      </c>
      <c r="K310" t="s">
        <v>21</v>
      </c>
      <c r="L310">
        <v>4.8</v>
      </c>
      <c r="M310">
        <v>4.79</v>
      </c>
      <c r="N310">
        <v>4.5599999999999996</v>
      </c>
      <c r="O310" t="s">
        <v>22</v>
      </c>
      <c r="P310" t="s">
        <v>32</v>
      </c>
      <c r="Q310" t="s">
        <v>29</v>
      </c>
    </row>
    <row r="311" spans="1:17" x14ac:dyDescent="0.35">
      <c r="A311">
        <v>310</v>
      </c>
      <c r="B311" t="s">
        <v>25</v>
      </c>
      <c r="C311">
        <v>18</v>
      </c>
      <c r="D311" t="s">
        <v>37</v>
      </c>
      <c r="E311" t="s">
        <v>19</v>
      </c>
      <c r="F311">
        <v>10</v>
      </c>
      <c r="G311">
        <v>0.98</v>
      </c>
      <c r="H311" t="s">
        <v>20</v>
      </c>
      <c r="I311">
        <v>47997</v>
      </c>
      <c r="J311" t="s">
        <v>21</v>
      </c>
      <c r="K311" t="s">
        <v>28</v>
      </c>
      <c r="L311">
        <v>3.91</v>
      </c>
      <c r="M311">
        <v>4.4400000000000004</v>
      </c>
      <c r="N311">
        <v>4.5199999999999996</v>
      </c>
      <c r="O311" t="s">
        <v>22</v>
      </c>
      <c r="P311" t="s">
        <v>23</v>
      </c>
      <c r="Q311" t="s">
        <v>24</v>
      </c>
    </row>
    <row r="312" spans="1:17" x14ac:dyDescent="0.35">
      <c r="A312">
        <v>311</v>
      </c>
      <c r="B312" t="s">
        <v>25</v>
      </c>
      <c r="C312">
        <v>17</v>
      </c>
      <c r="D312" t="s">
        <v>30</v>
      </c>
      <c r="E312" t="s">
        <v>35</v>
      </c>
      <c r="F312">
        <v>18</v>
      </c>
      <c r="G312">
        <v>0.87</v>
      </c>
      <c r="H312" t="s">
        <v>40</v>
      </c>
      <c r="I312">
        <v>26309</v>
      </c>
      <c r="J312" t="s">
        <v>28</v>
      </c>
      <c r="K312" t="s">
        <v>28</v>
      </c>
      <c r="L312">
        <v>3.3</v>
      </c>
      <c r="M312">
        <v>4.6399999999999997</v>
      </c>
      <c r="N312">
        <v>3.96</v>
      </c>
      <c r="O312" t="s">
        <v>34</v>
      </c>
      <c r="P312" t="s">
        <v>32</v>
      </c>
      <c r="Q312" t="s">
        <v>24</v>
      </c>
    </row>
    <row r="313" spans="1:17" x14ac:dyDescent="0.35">
      <c r="A313">
        <v>312</v>
      </c>
      <c r="B313" t="s">
        <v>17</v>
      </c>
      <c r="C313">
        <v>16</v>
      </c>
      <c r="D313" t="s">
        <v>26</v>
      </c>
      <c r="E313" t="s">
        <v>35</v>
      </c>
      <c r="F313">
        <v>8</v>
      </c>
      <c r="G313">
        <v>0.86</v>
      </c>
      <c r="H313" t="s">
        <v>27</v>
      </c>
      <c r="I313">
        <v>14054</v>
      </c>
      <c r="J313" t="s">
        <v>28</v>
      </c>
      <c r="K313" t="s">
        <v>28</v>
      </c>
      <c r="L313">
        <v>4.8600000000000003</v>
      </c>
      <c r="M313">
        <v>4.6500000000000004</v>
      </c>
      <c r="N313">
        <v>3.09</v>
      </c>
      <c r="O313" t="s">
        <v>36</v>
      </c>
      <c r="P313" t="s">
        <v>23</v>
      </c>
      <c r="Q313" t="s">
        <v>29</v>
      </c>
    </row>
    <row r="314" spans="1:17" x14ac:dyDescent="0.35">
      <c r="A314">
        <v>313</v>
      </c>
      <c r="B314" t="s">
        <v>25</v>
      </c>
      <c r="C314">
        <v>15</v>
      </c>
      <c r="D314" t="s">
        <v>18</v>
      </c>
      <c r="E314" t="s">
        <v>35</v>
      </c>
      <c r="F314">
        <v>25</v>
      </c>
      <c r="G314">
        <v>0.63</v>
      </c>
      <c r="H314" t="s">
        <v>40</v>
      </c>
      <c r="I314">
        <v>10935</v>
      </c>
      <c r="J314" t="s">
        <v>28</v>
      </c>
      <c r="K314" t="s">
        <v>28</v>
      </c>
      <c r="L314">
        <v>3.92</v>
      </c>
      <c r="M314">
        <v>4.03</v>
      </c>
      <c r="N314">
        <v>3.62</v>
      </c>
      <c r="O314" t="s">
        <v>34</v>
      </c>
      <c r="P314" t="s">
        <v>32</v>
      </c>
      <c r="Q314" t="s">
        <v>29</v>
      </c>
    </row>
    <row r="315" spans="1:17" x14ac:dyDescent="0.35">
      <c r="A315">
        <v>314</v>
      </c>
      <c r="B315" t="s">
        <v>17</v>
      </c>
      <c r="C315">
        <v>15</v>
      </c>
      <c r="D315" t="s">
        <v>39</v>
      </c>
      <c r="E315" t="s">
        <v>35</v>
      </c>
      <c r="F315">
        <v>12</v>
      </c>
      <c r="G315">
        <v>0.74</v>
      </c>
      <c r="H315" t="s">
        <v>40</v>
      </c>
      <c r="I315">
        <v>54940</v>
      </c>
      <c r="J315" t="s">
        <v>21</v>
      </c>
      <c r="K315" t="s">
        <v>28</v>
      </c>
      <c r="L315">
        <v>3.36</v>
      </c>
      <c r="M315">
        <v>3.91</v>
      </c>
      <c r="N315">
        <v>3.58</v>
      </c>
      <c r="O315" t="s">
        <v>34</v>
      </c>
      <c r="P315" t="s">
        <v>23</v>
      </c>
      <c r="Q315" t="s">
        <v>24</v>
      </c>
    </row>
    <row r="316" spans="1:17" x14ac:dyDescent="0.35">
      <c r="A316">
        <v>315</v>
      </c>
      <c r="B316" t="s">
        <v>17</v>
      </c>
      <c r="C316">
        <v>16</v>
      </c>
      <c r="D316" t="s">
        <v>37</v>
      </c>
      <c r="E316" t="s">
        <v>35</v>
      </c>
      <c r="F316">
        <v>7</v>
      </c>
      <c r="G316">
        <v>0.94</v>
      </c>
      <c r="H316" t="s">
        <v>20</v>
      </c>
      <c r="I316">
        <v>32778</v>
      </c>
      <c r="J316" t="s">
        <v>21</v>
      </c>
      <c r="K316" t="s">
        <v>28</v>
      </c>
      <c r="L316">
        <v>3.6</v>
      </c>
      <c r="M316">
        <v>4.7</v>
      </c>
      <c r="N316">
        <v>4.62</v>
      </c>
      <c r="O316" t="s">
        <v>22</v>
      </c>
      <c r="P316" t="s">
        <v>23</v>
      </c>
      <c r="Q316" t="s">
        <v>24</v>
      </c>
    </row>
    <row r="317" spans="1:17" x14ac:dyDescent="0.35">
      <c r="A317">
        <v>316</v>
      </c>
      <c r="B317" t="s">
        <v>25</v>
      </c>
      <c r="C317">
        <v>18</v>
      </c>
      <c r="D317" t="s">
        <v>39</v>
      </c>
      <c r="E317" t="s">
        <v>35</v>
      </c>
      <c r="F317">
        <v>23</v>
      </c>
      <c r="G317">
        <v>0.96</v>
      </c>
      <c r="H317" t="s">
        <v>31</v>
      </c>
      <c r="I317">
        <v>53298</v>
      </c>
      <c r="J317" t="s">
        <v>21</v>
      </c>
      <c r="K317" t="s">
        <v>28</v>
      </c>
      <c r="L317">
        <v>3.1</v>
      </c>
      <c r="M317">
        <v>4.07</v>
      </c>
      <c r="N317">
        <v>3.18</v>
      </c>
      <c r="O317" t="s">
        <v>36</v>
      </c>
      <c r="P317" t="s">
        <v>32</v>
      </c>
      <c r="Q317" t="s">
        <v>24</v>
      </c>
    </row>
    <row r="318" spans="1:17" x14ac:dyDescent="0.35">
      <c r="A318">
        <v>317</v>
      </c>
      <c r="B318" t="s">
        <v>17</v>
      </c>
      <c r="C318">
        <v>16</v>
      </c>
      <c r="D318" t="s">
        <v>42</v>
      </c>
      <c r="E318" t="s">
        <v>19</v>
      </c>
      <c r="F318">
        <v>18</v>
      </c>
      <c r="G318">
        <v>0.6</v>
      </c>
      <c r="H318" t="s">
        <v>40</v>
      </c>
      <c r="I318">
        <v>58328</v>
      </c>
      <c r="J318" t="s">
        <v>21</v>
      </c>
      <c r="K318" t="s">
        <v>21</v>
      </c>
      <c r="L318">
        <v>3.94</v>
      </c>
      <c r="M318">
        <v>4.8600000000000003</v>
      </c>
      <c r="N318">
        <v>4.6100000000000003</v>
      </c>
      <c r="O318" t="s">
        <v>22</v>
      </c>
      <c r="P318" t="s">
        <v>32</v>
      </c>
      <c r="Q318" t="s">
        <v>24</v>
      </c>
    </row>
    <row r="319" spans="1:17" x14ac:dyDescent="0.35">
      <c r="A319">
        <v>318</v>
      </c>
      <c r="B319" t="s">
        <v>17</v>
      </c>
      <c r="C319">
        <v>18</v>
      </c>
      <c r="D319" t="s">
        <v>41</v>
      </c>
      <c r="E319" t="s">
        <v>19</v>
      </c>
      <c r="F319">
        <v>24</v>
      </c>
      <c r="G319">
        <v>0.62</v>
      </c>
      <c r="H319" t="s">
        <v>31</v>
      </c>
      <c r="I319">
        <v>58924</v>
      </c>
      <c r="J319" t="s">
        <v>21</v>
      </c>
      <c r="K319" t="s">
        <v>28</v>
      </c>
      <c r="L319">
        <v>4.71</v>
      </c>
      <c r="M319">
        <v>3.6</v>
      </c>
      <c r="N319">
        <v>4.34</v>
      </c>
      <c r="O319" t="s">
        <v>34</v>
      </c>
      <c r="P319" t="s">
        <v>32</v>
      </c>
      <c r="Q319" t="s">
        <v>29</v>
      </c>
    </row>
    <row r="320" spans="1:17" x14ac:dyDescent="0.35">
      <c r="A320">
        <v>319</v>
      </c>
      <c r="B320" t="s">
        <v>17</v>
      </c>
      <c r="C320">
        <v>16</v>
      </c>
      <c r="D320" t="s">
        <v>37</v>
      </c>
      <c r="E320" t="s">
        <v>35</v>
      </c>
      <c r="F320">
        <v>21</v>
      </c>
      <c r="G320">
        <v>0.83</v>
      </c>
      <c r="H320" t="s">
        <v>20</v>
      </c>
      <c r="I320">
        <v>26709</v>
      </c>
      <c r="J320" t="s">
        <v>21</v>
      </c>
      <c r="K320" t="s">
        <v>21</v>
      </c>
      <c r="L320">
        <v>4.87</v>
      </c>
      <c r="M320">
        <v>3.59</v>
      </c>
      <c r="N320">
        <v>4.46</v>
      </c>
      <c r="O320" t="s">
        <v>34</v>
      </c>
      <c r="P320" t="s">
        <v>32</v>
      </c>
      <c r="Q320" t="s">
        <v>29</v>
      </c>
    </row>
    <row r="321" spans="1:17" x14ac:dyDescent="0.35">
      <c r="A321">
        <v>320</v>
      </c>
      <c r="B321" t="s">
        <v>25</v>
      </c>
      <c r="C321">
        <v>17</v>
      </c>
      <c r="D321" t="s">
        <v>18</v>
      </c>
      <c r="E321" t="s">
        <v>19</v>
      </c>
      <c r="F321">
        <v>29</v>
      </c>
      <c r="G321">
        <v>0.86</v>
      </c>
      <c r="H321" t="s">
        <v>31</v>
      </c>
      <c r="I321">
        <v>19726</v>
      </c>
      <c r="J321" t="s">
        <v>28</v>
      </c>
      <c r="K321" t="s">
        <v>28</v>
      </c>
      <c r="L321">
        <v>4.87</v>
      </c>
      <c r="M321">
        <v>4.8899999999999997</v>
      </c>
      <c r="N321">
        <v>3.86</v>
      </c>
      <c r="O321" t="s">
        <v>34</v>
      </c>
      <c r="P321" t="s">
        <v>32</v>
      </c>
      <c r="Q321" t="s">
        <v>29</v>
      </c>
    </row>
    <row r="322" spans="1:17" x14ac:dyDescent="0.35">
      <c r="A322">
        <v>321</v>
      </c>
      <c r="B322" t="s">
        <v>25</v>
      </c>
      <c r="C322">
        <v>18</v>
      </c>
      <c r="D322" t="s">
        <v>18</v>
      </c>
      <c r="E322" t="s">
        <v>19</v>
      </c>
      <c r="F322">
        <v>12</v>
      </c>
      <c r="G322">
        <v>0.99</v>
      </c>
      <c r="H322" t="s">
        <v>20</v>
      </c>
      <c r="I322">
        <v>50542</v>
      </c>
      <c r="J322" t="s">
        <v>21</v>
      </c>
      <c r="K322" t="s">
        <v>28</v>
      </c>
      <c r="L322">
        <v>3.25</v>
      </c>
      <c r="M322">
        <v>4.47</v>
      </c>
      <c r="N322">
        <v>4.3600000000000003</v>
      </c>
      <c r="O322" t="s">
        <v>34</v>
      </c>
      <c r="P322" t="s">
        <v>23</v>
      </c>
      <c r="Q322" t="s">
        <v>24</v>
      </c>
    </row>
    <row r="323" spans="1:17" x14ac:dyDescent="0.35">
      <c r="A323">
        <v>322</v>
      </c>
      <c r="B323" t="s">
        <v>17</v>
      </c>
      <c r="C323">
        <v>17</v>
      </c>
      <c r="D323" t="s">
        <v>42</v>
      </c>
      <c r="E323" t="s">
        <v>19</v>
      </c>
      <c r="F323">
        <v>28</v>
      </c>
      <c r="G323">
        <v>0.95</v>
      </c>
      <c r="H323" t="s">
        <v>27</v>
      </c>
      <c r="I323">
        <v>30245</v>
      </c>
      <c r="J323" t="s">
        <v>21</v>
      </c>
      <c r="K323" t="s">
        <v>21</v>
      </c>
      <c r="L323">
        <v>3.76</v>
      </c>
      <c r="M323">
        <v>4.07</v>
      </c>
      <c r="N323">
        <v>4.22</v>
      </c>
      <c r="O323" t="s">
        <v>34</v>
      </c>
      <c r="P323" t="s">
        <v>32</v>
      </c>
      <c r="Q323" t="s">
        <v>24</v>
      </c>
    </row>
    <row r="324" spans="1:17" x14ac:dyDescent="0.35">
      <c r="A324">
        <v>323</v>
      </c>
      <c r="B324" t="s">
        <v>25</v>
      </c>
      <c r="C324">
        <v>15</v>
      </c>
      <c r="D324" t="s">
        <v>42</v>
      </c>
      <c r="E324" t="s">
        <v>35</v>
      </c>
      <c r="F324">
        <v>18</v>
      </c>
      <c r="G324">
        <v>0.93</v>
      </c>
      <c r="H324" t="s">
        <v>31</v>
      </c>
      <c r="I324">
        <v>44753</v>
      </c>
      <c r="J324" t="s">
        <v>28</v>
      </c>
      <c r="K324" t="s">
        <v>28</v>
      </c>
      <c r="L324">
        <v>3.06</v>
      </c>
      <c r="M324">
        <v>4.63</v>
      </c>
      <c r="N324">
        <v>4.54</v>
      </c>
      <c r="O324" t="s">
        <v>22</v>
      </c>
      <c r="P324" t="s">
        <v>32</v>
      </c>
      <c r="Q324" t="s">
        <v>24</v>
      </c>
    </row>
    <row r="325" spans="1:17" x14ac:dyDescent="0.35">
      <c r="A325">
        <v>324</v>
      </c>
      <c r="B325" t="s">
        <v>25</v>
      </c>
      <c r="C325">
        <v>16</v>
      </c>
      <c r="D325" t="s">
        <v>33</v>
      </c>
      <c r="E325" t="s">
        <v>19</v>
      </c>
      <c r="F325">
        <v>10</v>
      </c>
      <c r="G325">
        <v>0.88</v>
      </c>
      <c r="H325" t="s">
        <v>31</v>
      </c>
      <c r="I325">
        <v>24252</v>
      </c>
      <c r="J325" t="s">
        <v>21</v>
      </c>
      <c r="K325" t="s">
        <v>21</v>
      </c>
      <c r="L325">
        <v>4.71</v>
      </c>
      <c r="M325">
        <v>4.51</v>
      </c>
      <c r="N325">
        <v>3.89</v>
      </c>
      <c r="O325" t="s">
        <v>34</v>
      </c>
      <c r="P325" t="s">
        <v>23</v>
      </c>
      <c r="Q325" t="s">
        <v>29</v>
      </c>
    </row>
    <row r="326" spans="1:17" x14ac:dyDescent="0.35">
      <c r="A326">
        <v>325</v>
      </c>
      <c r="B326" t="s">
        <v>25</v>
      </c>
      <c r="C326">
        <v>15</v>
      </c>
      <c r="D326" t="s">
        <v>37</v>
      </c>
      <c r="E326" t="s">
        <v>35</v>
      </c>
      <c r="F326">
        <v>27</v>
      </c>
      <c r="G326">
        <v>0.83</v>
      </c>
      <c r="H326" t="s">
        <v>27</v>
      </c>
      <c r="I326">
        <v>31316</v>
      </c>
      <c r="J326" t="s">
        <v>28</v>
      </c>
      <c r="K326" t="s">
        <v>28</v>
      </c>
      <c r="L326">
        <v>3.72</v>
      </c>
      <c r="M326">
        <v>4.3</v>
      </c>
      <c r="N326">
        <v>3.95</v>
      </c>
      <c r="O326" t="s">
        <v>34</v>
      </c>
      <c r="P326" t="s">
        <v>32</v>
      </c>
      <c r="Q326" t="s">
        <v>24</v>
      </c>
    </row>
    <row r="327" spans="1:17" x14ac:dyDescent="0.35">
      <c r="A327">
        <v>326</v>
      </c>
      <c r="B327" t="s">
        <v>25</v>
      </c>
      <c r="C327">
        <v>15</v>
      </c>
      <c r="D327" t="s">
        <v>39</v>
      </c>
      <c r="E327" t="s">
        <v>19</v>
      </c>
      <c r="F327">
        <v>26</v>
      </c>
      <c r="G327">
        <v>0.83</v>
      </c>
      <c r="H327" t="s">
        <v>31</v>
      </c>
      <c r="I327">
        <v>47371</v>
      </c>
      <c r="J327" t="s">
        <v>21</v>
      </c>
      <c r="K327" t="s">
        <v>21</v>
      </c>
      <c r="L327">
        <v>4.26</v>
      </c>
      <c r="M327">
        <v>3.65</v>
      </c>
      <c r="N327">
        <v>4.29</v>
      </c>
      <c r="O327" t="s">
        <v>34</v>
      </c>
      <c r="P327" t="s">
        <v>32</v>
      </c>
      <c r="Q327" t="s">
        <v>24</v>
      </c>
    </row>
    <row r="328" spans="1:17" x14ac:dyDescent="0.35">
      <c r="A328">
        <v>327</v>
      </c>
      <c r="B328" t="s">
        <v>17</v>
      </c>
      <c r="C328">
        <v>15</v>
      </c>
      <c r="D328" t="s">
        <v>30</v>
      </c>
      <c r="E328" t="s">
        <v>35</v>
      </c>
      <c r="F328">
        <v>20</v>
      </c>
      <c r="G328">
        <v>0.63</v>
      </c>
      <c r="H328" t="s">
        <v>27</v>
      </c>
      <c r="I328">
        <v>29162</v>
      </c>
      <c r="J328" t="s">
        <v>28</v>
      </c>
      <c r="K328" t="s">
        <v>28</v>
      </c>
      <c r="L328">
        <v>4.43</v>
      </c>
      <c r="M328">
        <v>4.72</v>
      </c>
      <c r="N328">
        <v>3.22</v>
      </c>
      <c r="O328" t="s">
        <v>36</v>
      </c>
      <c r="P328" t="s">
        <v>32</v>
      </c>
      <c r="Q328" t="s">
        <v>29</v>
      </c>
    </row>
    <row r="329" spans="1:17" x14ac:dyDescent="0.35">
      <c r="A329">
        <v>328</v>
      </c>
      <c r="B329" t="s">
        <v>17</v>
      </c>
      <c r="C329">
        <v>15</v>
      </c>
      <c r="D329" t="s">
        <v>18</v>
      </c>
      <c r="E329" t="s">
        <v>35</v>
      </c>
      <c r="F329">
        <v>29</v>
      </c>
      <c r="G329">
        <v>0.62</v>
      </c>
      <c r="H329" t="s">
        <v>40</v>
      </c>
      <c r="I329">
        <v>25960</v>
      </c>
      <c r="J329" t="s">
        <v>28</v>
      </c>
      <c r="K329" t="s">
        <v>21</v>
      </c>
      <c r="L329">
        <v>3.86</v>
      </c>
      <c r="M329">
        <v>4.8</v>
      </c>
      <c r="N329">
        <v>3.87</v>
      </c>
      <c r="O329" t="s">
        <v>34</v>
      </c>
      <c r="P329" t="s">
        <v>32</v>
      </c>
      <c r="Q329" t="s">
        <v>24</v>
      </c>
    </row>
    <row r="330" spans="1:17" x14ac:dyDescent="0.35">
      <c r="A330">
        <v>329</v>
      </c>
      <c r="B330" t="s">
        <v>25</v>
      </c>
      <c r="C330">
        <v>16</v>
      </c>
      <c r="D330" t="s">
        <v>18</v>
      </c>
      <c r="E330" t="s">
        <v>19</v>
      </c>
      <c r="F330">
        <v>23</v>
      </c>
      <c r="G330">
        <v>0.93</v>
      </c>
      <c r="H330" t="s">
        <v>20</v>
      </c>
      <c r="I330">
        <v>40791</v>
      </c>
      <c r="J330" t="s">
        <v>28</v>
      </c>
      <c r="K330" t="s">
        <v>21</v>
      </c>
      <c r="L330">
        <v>3.61</v>
      </c>
      <c r="M330">
        <v>3.76</v>
      </c>
      <c r="N330">
        <v>4.9400000000000004</v>
      </c>
      <c r="O330" t="s">
        <v>22</v>
      </c>
      <c r="P330" t="s">
        <v>32</v>
      </c>
      <c r="Q330" t="s">
        <v>24</v>
      </c>
    </row>
    <row r="331" spans="1:17" x14ac:dyDescent="0.35">
      <c r="A331">
        <v>330</v>
      </c>
      <c r="B331" t="s">
        <v>25</v>
      </c>
      <c r="C331">
        <v>15</v>
      </c>
      <c r="D331" t="s">
        <v>42</v>
      </c>
      <c r="E331" t="s">
        <v>19</v>
      </c>
      <c r="F331">
        <v>18</v>
      </c>
      <c r="G331">
        <v>0.82</v>
      </c>
      <c r="H331" t="s">
        <v>27</v>
      </c>
      <c r="I331">
        <v>52230</v>
      </c>
      <c r="J331" t="s">
        <v>28</v>
      </c>
      <c r="K331" t="s">
        <v>28</v>
      </c>
      <c r="L331">
        <v>4.92</v>
      </c>
      <c r="M331">
        <v>4.78</v>
      </c>
      <c r="N331">
        <v>3.08</v>
      </c>
      <c r="O331" t="s">
        <v>36</v>
      </c>
      <c r="P331" t="s">
        <v>32</v>
      </c>
      <c r="Q331" t="s">
        <v>29</v>
      </c>
    </row>
    <row r="332" spans="1:17" x14ac:dyDescent="0.35">
      <c r="A332">
        <v>331</v>
      </c>
      <c r="B332" t="s">
        <v>17</v>
      </c>
      <c r="C332">
        <v>16</v>
      </c>
      <c r="D332" t="s">
        <v>26</v>
      </c>
      <c r="E332" t="s">
        <v>35</v>
      </c>
      <c r="F332">
        <v>23</v>
      </c>
      <c r="G332">
        <v>0.82</v>
      </c>
      <c r="H332" t="s">
        <v>31</v>
      </c>
      <c r="I332">
        <v>35216</v>
      </c>
      <c r="J332" t="s">
        <v>28</v>
      </c>
      <c r="K332" t="s">
        <v>28</v>
      </c>
      <c r="L332">
        <v>4.93</v>
      </c>
      <c r="M332">
        <v>4.82</v>
      </c>
      <c r="N332">
        <v>3.63</v>
      </c>
      <c r="O332" t="s">
        <v>34</v>
      </c>
      <c r="P332" t="s">
        <v>32</v>
      </c>
      <c r="Q332" t="s">
        <v>29</v>
      </c>
    </row>
    <row r="333" spans="1:17" x14ac:dyDescent="0.35">
      <c r="A333">
        <v>332</v>
      </c>
      <c r="B333" t="s">
        <v>17</v>
      </c>
      <c r="C333">
        <v>16</v>
      </c>
      <c r="D333" t="s">
        <v>42</v>
      </c>
      <c r="E333" t="s">
        <v>19</v>
      </c>
      <c r="F333">
        <v>7</v>
      </c>
      <c r="G333">
        <v>0.64</v>
      </c>
      <c r="H333" t="s">
        <v>27</v>
      </c>
      <c r="I333">
        <v>42467</v>
      </c>
      <c r="J333" t="s">
        <v>21</v>
      </c>
      <c r="K333" t="s">
        <v>21</v>
      </c>
      <c r="L333">
        <v>3.58</v>
      </c>
      <c r="M333">
        <v>4.32</v>
      </c>
      <c r="N333">
        <v>3.63</v>
      </c>
      <c r="O333" t="s">
        <v>34</v>
      </c>
      <c r="P333" t="s">
        <v>23</v>
      </c>
      <c r="Q333" t="s">
        <v>24</v>
      </c>
    </row>
    <row r="334" spans="1:17" x14ac:dyDescent="0.35">
      <c r="A334">
        <v>333</v>
      </c>
      <c r="B334" t="s">
        <v>25</v>
      </c>
      <c r="C334">
        <v>17</v>
      </c>
      <c r="D334" t="s">
        <v>30</v>
      </c>
      <c r="E334" t="s">
        <v>19</v>
      </c>
      <c r="F334">
        <v>14</v>
      </c>
      <c r="G334">
        <v>0.9</v>
      </c>
      <c r="H334" t="s">
        <v>31</v>
      </c>
      <c r="I334">
        <v>56934</v>
      </c>
      <c r="J334" t="s">
        <v>21</v>
      </c>
      <c r="K334" t="s">
        <v>28</v>
      </c>
      <c r="L334">
        <v>3.96</v>
      </c>
      <c r="M334">
        <v>4.4800000000000004</v>
      </c>
      <c r="N334">
        <v>4.2699999999999996</v>
      </c>
      <c r="O334" t="s">
        <v>34</v>
      </c>
      <c r="P334" t="s">
        <v>23</v>
      </c>
      <c r="Q334" t="s">
        <v>24</v>
      </c>
    </row>
    <row r="335" spans="1:17" x14ac:dyDescent="0.35">
      <c r="A335">
        <v>334</v>
      </c>
      <c r="B335" t="s">
        <v>17</v>
      </c>
      <c r="C335">
        <v>18</v>
      </c>
      <c r="D335" t="s">
        <v>39</v>
      </c>
      <c r="E335" t="s">
        <v>19</v>
      </c>
      <c r="F335">
        <v>23</v>
      </c>
      <c r="G335">
        <v>0.65</v>
      </c>
      <c r="H335" t="s">
        <v>40</v>
      </c>
      <c r="I335">
        <v>17754</v>
      </c>
      <c r="J335" t="s">
        <v>28</v>
      </c>
      <c r="K335" t="s">
        <v>21</v>
      </c>
      <c r="L335">
        <v>4.95</v>
      </c>
      <c r="M335">
        <v>4.07</v>
      </c>
      <c r="N335">
        <v>3.21</v>
      </c>
      <c r="O335" t="s">
        <v>36</v>
      </c>
      <c r="P335" t="s">
        <v>32</v>
      </c>
      <c r="Q335" t="s">
        <v>29</v>
      </c>
    </row>
    <row r="336" spans="1:17" x14ac:dyDescent="0.35">
      <c r="A336">
        <v>335</v>
      </c>
      <c r="B336" t="s">
        <v>25</v>
      </c>
      <c r="C336">
        <v>18</v>
      </c>
      <c r="D336" t="s">
        <v>39</v>
      </c>
      <c r="E336" t="s">
        <v>35</v>
      </c>
      <c r="F336">
        <v>13</v>
      </c>
      <c r="G336">
        <v>0.96</v>
      </c>
      <c r="H336" t="s">
        <v>27</v>
      </c>
      <c r="I336">
        <v>57014</v>
      </c>
      <c r="J336" t="s">
        <v>28</v>
      </c>
      <c r="K336" t="s">
        <v>28</v>
      </c>
      <c r="L336">
        <v>3.01</v>
      </c>
      <c r="M336">
        <v>3.92</v>
      </c>
      <c r="N336">
        <v>4.26</v>
      </c>
      <c r="O336" t="s">
        <v>34</v>
      </c>
      <c r="P336" t="s">
        <v>23</v>
      </c>
      <c r="Q336" t="s">
        <v>24</v>
      </c>
    </row>
    <row r="337" spans="1:17" x14ac:dyDescent="0.35">
      <c r="A337">
        <v>336</v>
      </c>
      <c r="B337" t="s">
        <v>25</v>
      </c>
      <c r="C337">
        <v>16</v>
      </c>
      <c r="D337" t="s">
        <v>26</v>
      </c>
      <c r="E337" t="s">
        <v>35</v>
      </c>
      <c r="F337">
        <v>24</v>
      </c>
      <c r="G337">
        <v>0.69</v>
      </c>
      <c r="H337" t="s">
        <v>40</v>
      </c>
      <c r="I337">
        <v>14078</v>
      </c>
      <c r="J337" t="s">
        <v>28</v>
      </c>
      <c r="K337" t="s">
        <v>21</v>
      </c>
      <c r="L337">
        <v>3.83</v>
      </c>
      <c r="M337">
        <v>4.58</v>
      </c>
      <c r="N337">
        <v>3.19</v>
      </c>
      <c r="O337" t="s">
        <v>36</v>
      </c>
      <c r="P337" t="s">
        <v>32</v>
      </c>
      <c r="Q337" t="s">
        <v>29</v>
      </c>
    </row>
    <row r="338" spans="1:17" x14ac:dyDescent="0.35">
      <c r="A338">
        <v>337</v>
      </c>
      <c r="B338" t="s">
        <v>17</v>
      </c>
      <c r="C338">
        <v>17</v>
      </c>
      <c r="D338" t="s">
        <v>18</v>
      </c>
      <c r="E338" t="s">
        <v>19</v>
      </c>
      <c r="F338">
        <v>17</v>
      </c>
      <c r="G338">
        <v>0.99</v>
      </c>
      <c r="H338" t="s">
        <v>20</v>
      </c>
      <c r="I338">
        <v>22853</v>
      </c>
      <c r="J338" t="s">
        <v>21</v>
      </c>
      <c r="K338" t="s">
        <v>28</v>
      </c>
      <c r="L338">
        <v>3.2</v>
      </c>
      <c r="M338">
        <v>4.79</v>
      </c>
      <c r="N338">
        <v>3.19</v>
      </c>
      <c r="O338" t="s">
        <v>36</v>
      </c>
      <c r="P338" t="s">
        <v>32</v>
      </c>
      <c r="Q338" t="s">
        <v>29</v>
      </c>
    </row>
    <row r="339" spans="1:17" x14ac:dyDescent="0.35">
      <c r="A339">
        <v>338</v>
      </c>
      <c r="B339" t="s">
        <v>17</v>
      </c>
      <c r="C339">
        <v>16</v>
      </c>
      <c r="D339" t="s">
        <v>42</v>
      </c>
      <c r="E339" t="s">
        <v>19</v>
      </c>
      <c r="F339">
        <v>11</v>
      </c>
      <c r="G339">
        <v>0.66</v>
      </c>
      <c r="H339" t="s">
        <v>31</v>
      </c>
      <c r="I339">
        <v>14042</v>
      </c>
      <c r="J339" t="s">
        <v>28</v>
      </c>
      <c r="K339" t="s">
        <v>21</v>
      </c>
      <c r="L339">
        <v>4.0199999999999996</v>
      </c>
      <c r="M339">
        <v>4.4800000000000004</v>
      </c>
      <c r="N339">
        <v>4.46</v>
      </c>
      <c r="O339" t="s">
        <v>34</v>
      </c>
      <c r="P339" t="s">
        <v>23</v>
      </c>
      <c r="Q339" t="s">
        <v>24</v>
      </c>
    </row>
    <row r="340" spans="1:17" x14ac:dyDescent="0.35">
      <c r="A340">
        <v>339</v>
      </c>
      <c r="B340" t="s">
        <v>25</v>
      </c>
      <c r="C340">
        <v>16</v>
      </c>
      <c r="D340" t="s">
        <v>33</v>
      </c>
      <c r="E340" t="s">
        <v>19</v>
      </c>
      <c r="F340">
        <v>18</v>
      </c>
      <c r="G340">
        <v>0.98</v>
      </c>
      <c r="H340" t="s">
        <v>31</v>
      </c>
      <c r="I340">
        <v>59052</v>
      </c>
      <c r="J340" t="s">
        <v>28</v>
      </c>
      <c r="K340" t="s">
        <v>28</v>
      </c>
      <c r="L340">
        <v>3.05</v>
      </c>
      <c r="M340">
        <v>4.2699999999999996</v>
      </c>
      <c r="N340">
        <v>3.65</v>
      </c>
      <c r="O340" t="s">
        <v>34</v>
      </c>
      <c r="P340" t="s">
        <v>32</v>
      </c>
      <c r="Q340" t="s">
        <v>24</v>
      </c>
    </row>
    <row r="341" spans="1:17" x14ac:dyDescent="0.35">
      <c r="A341">
        <v>340</v>
      </c>
      <c r="B341" t="s">
        <v>25</v>
      </c>
      <c r="C341">
        <v>16</v>
      </c>
      <c r="D341" t="s">
        <v>39</v>
      </c>
      <c r="E341" t="s">
        <v>35</v>
      </c>
      <c r="F341">
        <v>13</v>
      </c>
      <c r="G341">
        <v>0.97</v>
      </c>
      <c r="H341" t="s">
        <v>40</v>
      </c>
      <c r="I341">
        <v>24389</v>
      </c>
      <c r="J341" t="s">
        <v>28</v>
      </c>
      <c r="K341" t="s">
        <v>21</v>
      </c>
      <c r="L341">
        <v>3.81</v>
      </c>
      <c r="M341">
        <v>3.74</v>
      </c>
      <c r="N341">
        <v>4.95</v>
      </c>
      <c r="O341" t="s">
        <v>22</v>
      </c>
      <c r="P341" t="s">
        <v>23</v>
      </c>
      <c r="Q341" t="s">
        <v>24</v>
      </c>
    </row>
    <row r="342" spans="1:17" x14ac:dyDescent="0.35">
      <c r="A342">
        <v>341</v>
      </c>
      <c r="B342" t="s">
        <v>17</v>
      </c>
      <c r="C342">
        <v>17</v>
      </c>
      <c r="D342" t="s">
        <v>30</v>
      </c>
      <c r="E342" t="s">
        <v>35</v>
      </c>
      <c r="F342">
        <v>27</v>
      </c>
      <c r="G342">
        <v>0.8</v>
      </c>
      <c r="H342" t="s">
        <v>20</v>
      </c>
      <c r="I342">
        <v>40425</v>
      </c>
      <c r="J342" t="s">
        <v>28</v>
      </c>
      <c r="K342" t="s">
        <v>21</v>
      </c>
      <c r="L342">
        <v>3.44</v>
      </c>
      <c r="M342">
        <v>3.58</v>
      </c>
      <c r="N342">
        <v>3.07</v>
      </c>
      <c r="O342" t="s">
        <v>36</v>
      </c>
      <c r="P342" t="s">
        <v>32</v>
      </c>
      <c r="Q342" t="s">
        <v>29</v>
      </c>
    </row>
    <row r="343" spans="1:17" x14ac:dyDescent="0.35">
      <c r="A343">
        <v>342</v>
      </c>
      <c r="B343" t="s">
        <v>25</v>
      </c>
      <c r="C343">
        <v>18</v>
      </c>
      <c r="D343" t="s">
        <v>37</v>
      </c>
      <c r="E343" t="s">
        <v>19</v>
      </c>
      <c r="F343">
        <v>29</v>
      </c>
      <c r="G343">
        <v>0.79</v>
      </c>
      <c r="H343" t="s">
        <v>27</v>
      </c>
      <c r="I343">
        <v>12575</v>
      </c>
      <c r="J343" t="s">
        <v>21</v>
      </c>
      <c r="K343" t="s">
        <v>28</v>
      </c>
      <c r="L343">
        <v>4.07</v>
      </c>
      <c r="M343">
        <v>4.17</v>
      </c>
      <c r="N343">
        <v>3.89</v>
      </c>
      <c r="O343" t="s">
        <v>34</v>
      </c>
      <c r="P343" t="s">
        <v>32</v>
      </c>
      <c r="Q343" t="s">
        <v>29</v>
      </c>
    </row>
    <row r="344" spans="1:17" x14ac:dyDescent="0.35">
      <c r="A344">
        <v>343</v>
      </c>
      <c r="B344" t="s">
        <v>17</v>
      </c>
      <c r="C344">
        <v>17</v>
      </c>
      <c r="D344" t="s">
        <v>41</v>
      </c>
      <c r="E344" t="s">
        <v>19</v>
      </c>
      <c r="F344">
        <v>23</v>
      </c>
      <c r="G344">
        <v>0.62</v>
      </c>
      <c r="H344" t="s">
        <v>27</v>
      </c>
      <c r="I344">
        <v>49522</v>
      </c>
      <c r="J344" t="s">
        <v>28</v>
      </c>
      <c r="K344" t="s">
        <v>28</v>
      </c>
      <c r="L344">
        <v>4.99</v>
      </c>
      <c r="M344">
        <v>3.57</v>
      </c>
      <c r="N344">
        <v>3.23</v>
      </c>
      <c r="O344" t="s">
        <v>36</v>
      </c>
      <c r="P344" t="s">
        <v>32</v>
      </c>
      <c r="Q344" t="s">
        <v>29</v>
      </c>
    </row>
    <row r="345" spans="1:17" x14ac:dyDescent="0.35">
      <c r="A345">
        <v>344</v>
      </c>
      <c r="B345" t="s">
        <v>25</v>
      </c>
      <c r="C345">
        <v>15</v>
      </c>
      <c r="D345" t="s">
        <v>41</v>
      </c>
      <c r="E345" t="s">
        <v>19</v>
      </c>
      <c r="F345">
        <v>19</v>
      </c>
      <c r="G345">
        <v>0.81</v>
      </c>
      <c r="H345" t="s">
        <v>31</v>
      </c>
      <c r="I345">
        <v>38179</v>
      </c>
      <c r="J345" t="s">
        <v>28</v>
      </c>
      <c r="K345" t="s">
        <v>21</v>
      </c>
      <c r="L345">
        <v>4.5999999999999996</v>
      </c>
      <c r="M345">
        <v>4.3499999999999996</v>
      </c>
      <c r="N345">
        <v>3.7</v>
      </c>
      <c r="O345" t="s">
        <v>34</v>
      </c>
      <c r="P345" t="s">
        <v>32</v>
      </c>
      <c r="Q345" t="s">
        <v>29</v>
      </c>
    </row>
    <row r="346" spans="1:17" x14ac:dyDescent="0.35">
      <c r="A346">
        <v>345</v>
      </c>
      <c r="B346" t="s">
        <v>17</v>
      </c>
      <c r="C346">
        <v>17</v>
      </c>
      <c r="D346" t="s">
        <v>41</v>
      </c>
      <c r="E346" t="s">
        <v>19</v>
      </c>
      <c r="F346">
        <v>24</v>
      </c>
      <c r="G346">
        <v>0.63</v>
      </c>
      <c r="H346" t="s">
        <v>40</v>
      </c>
      <c r="I346">
        <v>44754</v>
      </c>
      <c r="J346" t="s">
        <v>21</v>
      </c>
      <c r="K346" t="s">
        <v>21</v>
      </c>
      <c r="L346">
        <v>4.6900000000000004</v>
      </c>
      <c r="M346">
        <v>4.07</v>
      </c>
      <c r="N346">
        <v>5</v>
      </c>
      <c r="O346" t="s">
        <v>22</v>
      </c>
      <c r="P346" t="s">
        <v>32</v>
      </c>
      <c r="Q346" t="s">
        <v>24</v>
      </c>
    </row>
    <row r="347" spans="1:17" x14ac:dyDescent="0.35">
      <c r="A347">
        <v>346</v>
      </c>
      <c r="B347" t="s">
        <v>17</v>
      </c>
      <c r="C347">
        <v>17</v>
      </c>
      <c r="D347" t="s">
        <v>33</v>
      </c>
      <c r="E347" t="s">
        <v>19</v>
      </c>
      <c r="F347">
        <v>18</v>
      </c>
      <c r="G347">
        <v>0.87</v>
      </c>
      <c r="H347" t="s">
        <v>40</v>
      </c>
      <c r="I347">
        <v>28624</v>
      </c>
      <c r="J347" t="s">
        <v>28</v>
      </c>
      <c r="K347" t="s">
        <v>21</v>
      </c>
      <c r="L347">
        <v>4.2699999999999996</v>
      </c>
      <c r="M347">
        <v>4.6399999999999997</v>
      </c>
      <c r="N347">
        <v>4.78</v>
      </c>
      <c r="O347" t="s">
        <v>22</v>
      </c>
      <c r="P347" t="s">
        <v>32</v>
      </c>
      <c r="Q347" t="s">
        <v>24</v>
      </c>
    </row>
    <row r="348" spans="1:17" x14ac:dyDescent="0.35">
      <c r="A348">
        <v>347</v>
      </c>
      <c r="B348" t="s">
        <v>17</v>
      </c>
      <c r="C348">
        <v>17</v>
      </c>
      <c r="D348" t="s">
        <v>18</v>
      </c>
      <c r="E348" t="s">
        <v>19</v>
      </c>
      <c r="F348">
        <v>28</v>
      </c>
      <c r="G348">
        <v>0.71</v>
      </c>
      <c r="H348" t="s">
        <v>27</v>
      </c>
      <c r="I348">
        <v>30350</v>
      </c>
      <c r="J348" t="s">
        <v>28</v>
      </c>
      <c r="K348" t="s">
        <v>21</v>
      </c>
      <c r="L348">
        <v>3.08</v>
      </c>
      <c r="M348">
        <v>3.96</v>
      </c>
      <c r="N348">
        <v>3.1</v>
      </c>
      <c r="O348" t="s">
        <v>36</v>
      </c>
      <c r="P348" t="s">
        <v>32</v>
      </c>
      <c r="Q348" t="s">
        <v>24</v>
      </c>
    </row>
    <row r="349" spans="1:17" x14ac:dyDescent="0.35">
      <c r="A349">
        <v>348</v>
      </c>
      <c r="B349" t="s">
        <v>25</v>
      </c>
      <c r="C349">
        <v>17</v>
      </c>
      <c r="D349" t="s">
        <v>42</v>
      </c>
      <c r="E349" t="s">
        <v>35</v>
      </c>
      <c r="F349">
        <v>10</v>
      </c>
      <c r="G349">
        <v>0.97</v>
      </c>
      <c r="H349" t="s">
        <v>20</v>
      </c>
      <c r="I349">
        <v>36681</v>
      </c>
      <c r="J349" t="s">
        <v>21</v>
      </c>
      <c r="K349" t="s">
        <v>28</v>
      </c>
      <c r="L349">
        <v>3.41</v>
      </c>
      <c r="M349">
        <v>4.3899999999999997</v>
      </c>
      <c r="N349">
        <v>4.13</v>
      </c>
      <c r="O349" t="s">
        <v>34</v>
      </c>
      <c r="P349" t="s">
        <v>23</v>
      </c>
      <c r="Q349" t="s">
        <v>24</v>
      </c>
    </row>
    <row r="350" spans="1:17" x14ac:dyDescent="0.35">
      <c r="A350">
        <v>349</v>
      </c>
      <c r="B350" t="s">
        <v>25</v>
      </c>
      <c r="C350">
        <v>18</v>
      </c>
      <c r="D350" t="s">
        <v>26</v>
      </c>
      <c r="E350" t="s">
        <v>19</v>
      </c>
      <c r="F350">
        <v>25</v>
      </c>
      <c r="G350">
        <v>0.95</v>
      </c>
      <c r="H350" t="s">
        <v>20</v>
      </c>
      <c r="I350">
        <v>33988</v>
      </c>
      <c r="J350" t="s">
        <v>21</v>
      </c>
      <c r="K350" t="s">
        <v>21</v>
      </c>
      <c r="L350">
        <v>4.8499999999999996</v>
      </c>
      <c r="M350">
        <v>4.3099999999999996</v>
      </c>
      <c r="N350">
        <v>4.3</v>
      </c>
      <c r="O350" t="s">
        <v>34</v>
      </c>
      <c r="P350" t="s">
        <v>32</v>
      </c>
      <c r="Q350" t="s">
        <v>29</v>
      </c>
    </row>
    <row r="351" spans="1:17" x14ac:dyDescent="0.35">
      <c r="A351">
        <v>350</v>
      </c>
      <c r="B351" t="s">
        <v>17</v>
      </c>
      <c r="C351">
        <v>15</v>
      </c>
      <c r="D351" t="s">
        <v>33</v>
      </c>
      <c r="E351" t="s">
        <v>35</v>
      </c>
      <c r="F351">
        <v>8</v>
      </c>
      <c r="G351">
        <v>0.64</v>
      </c>
      <c r="H351" t="s">
        <v>27</v>
      </c>
      <c r="I351">
        <v>25470</v>
      </c>
      <c r="J351" t="s">
        <v>21</v>
      </c>
      <c r="K351" t="s">
        <v>21</v>
      </c>
      <c r="L351">
        <v>3.73</v>
      </c>
      <c r="M351">
        <v>3.51</v>
      </c>
      <c r="N351">
        <v>3.42</v>
      </c>
      <c r="O351" t="s">
        <v>36</v>
      </c>
      <c r="P351" t="s">
        <v>23</v>
      </c>
      <c r="Q351" t="s">
        <v>29</v>
      </c>
    </row>
    <row r="352" spans="1:17" x14ac:dyDescent="0.35">
      <c r="A352">
        <v>351</v>
      </c>
      <c r="B352" t="s">
        <v>25</v>
      </c>
      <c r="C352">
        <v>18</v>
      </c>
      <c r="D352" t="s">
        <v>33</v>
      </c>
      <c r="E352" t="s">
        <v>19</v>
      </c>
      <c r="F352">
        <v>12</v>
      </c>
      <c r="G352">
        <v>0.72</v>
      </c>
      <c r="H352" t="s">
        <v>27</v>
      </c>
      <c r="I352">
        <v>34704</v>
      </c>
      <c r="J352" t="s">
        <v>28</v>
      </c>
      <c r="K352" t="s">
        <v>21</v>
      </c>
      <c r="L352">
        <v>3.21</v>
      </c>
      <c r="M352">
        <v>3.61</v>
      </c>
      <c r="N352">
        <v>3.29</v>
      </c>
      <c r="O352" t="s">
        <v>36</v>
      </c>
      <c r="P352" t="s">
        <v>23</v>
      </c>
      <c r="Q352" t="s">
        <v>24</v>
      </c>
    </row>
    <row r="353" spans="1:17" x14ac:dyDescent="0.35">
      <c r="A353">
        <v>352</v>
      </c>
      <c r="B353" t="s">
        <v>17</v>
      </c>
      <c r="C353">
        <v>18</v>
      </c>
      <c r="D353" t="s">
        <v>39</v>
      </c>
      <c r="E353" t="s">
        <v>19</v>
      </c>
      <c r="F353">
        <v>21</v>
      </c>
      <c r="G353">
        <v>0.82</v>
      </c>
      <c r="H353" t="s">
        <v>40</v>
      </c>
      <c r="I353">
        <v>48736</v>
      </c>
      <c r="J353" t="s">
        <v>28</v>
      </c>
      <c r="K353" t="s">
        <v>28</v>
      </c>
      <c r="L353">
        <v>4.4000000000000004</v>
      </c>
      <c r="M353">
        <v>3.94</v>
      </c>
      <c r="N353">
        <v>4.8099999999999996</v>
      </c>
      <c r="O353" t="s">
        <v>22</v>
      </c>
      <c r="P353" t="s">
        <v>32</v>
      </c>
      <c r="Q353" t="s">
        <v>24</v>
      </c>
    </row>
    <row r="354" spans="1:17" x14ac:dyDescent="0.35">
      <c r="A354">
        <v>353</v>
      </c>
      <c r="B354" t="s">
        <v>17</v>
      </c>
      <c r="C354">
        <v>17</v>
      </c>
      <c r="D354" t="s">
        <v>37</v>
      </c>
      <c r="E354" t="s">
        <v>35</v>
      </c>
      <c r="F354">
        <v>13</v>
      </c>
      <c r="G354">
        <v>0.89</v>
      </c>
      <c r="H354" t="s">
        <v>20</v>
      </c>
      <c r="I354">
        <v>39377</v>
      </c>
      <c r="J354" t="s">
        <v>21</v>
      </c>
      <c r="K354" t="s">
        <v>21</v>
      </c>
      <c r="L354">
        <v>3.6</v>
      </c>
      <c r="M354">
        <v>4.82</v>
      </c>
      <c r="N354">
        <v>4.9400000000000004</v>
      </c>
      <c r="O354" t="s">
        <v>22</v>
      </c>
      <c r="P354" t="s">
        <v>23</v>
      </c>
      <c r="Q354" t="s">
        <v>24</v>
      </c>
    </row>
    <row r="355" spans="1:17" x14ac:dyDescent="0.35">
      <c r="A355">
        <v>354</v>
      </c>
      <c r="B355" t="s">
        <v>25</v>
      </c>
      <c r="C355">
        <v>16</v>
      </c>
      <c r="D355" t="s">
        <v>33</v>
      </c>
      <c r="E355" t="s">
        <v>35</v>
      </c>
      <c r="F355">
        <v>5</v>
      </c>
      <c r="G355">
        <v>0.96</v>
      </c>
      <c r="H355" t="s">
        <v>27</v>
      </c>
      <c r="I355">
        <v>38572</v>
      </c>
      <c r="J355" t="s">
        <v>21</v>
      </c>
      <c r="K355" t="s">
        <v>28</v>
      </c>
      <c r="L355">
        <v>3.54</v>
      </c>
      <c r="M355">
        <v>3.72</v>
      </c>
      <c r="N355">
        <v>4.9800000000000004</v>
      </c>
      <c r="O355" t="s">
        <v>22</v>
      </c>
      <c r="P355" t="s">
        <v>23</v>
      </c>
      <c r="Q355" t="s">
        <v>24</v>
      </c>
    </row>
    <row r="356" spans="1:17" x14ac:dyDescent="0.35">
      <c r="A356">
        <v>355</v>
      </c>
      <c r="B356" t="s">
        <v>25</v>
      </c>
      <c r="C356">
        <v>16</v>
      </c>
      <c r="D356" t="s">
        <v>30</v>
      </c>
      <c r="E356" t="s">
        <v>35</v>
      </c>
      <c r="F356">
        <v>28</v>
      </c>
      <c r="G356">
        <v>0.84</v>
      </c>
      <c r="H356" t="s">
        <v>27</v>
      </c>
      <c r="I356">
        <v>17493</v>
      </c>
      <c r="J356" t="s">
        <v>21</v>
      </c>
      <c r="K356" t="s">
        <v>28</v>
      </c>
      <c r="L356">
        <v>5</v>
      </c>
      <c r="M356">
        <v>4.57</v>
      </c>
      <c r="N356">
        <v>4.58</v>
      </c>
      <c r="O356" t="s">
        <v>22</v>
      </c>
      <c r="P356" t="s">
        <v>32</v>
      </c>
      <c r="Q356" t="s">
        <v>29</v>
      </c>
    </row>
    <row r="357" spans="1:17" x14ac:dyDescent="0.35">
      <c r="A357">
        <v>356</v>
      </c>
      <c r="B357" t="s">
        <v>17</v>
      </c>
      <c r="C357">
        <v>18</v>
      </c>
      <c r="D357" t="s">
        <v>37</v>
      </c>
      <c r="E357" t="s">
        <v>35</v>
      </c>
      <c r="F357">
        <v>24</v>
      </c>
      <c r="G357">
        <v>0.86</v>
      </c>
      <c r="H357" t="s">
        <v>31</v>
      </c>
      <c r="I357">
        <v>14103</v>
      </c>
      <c r="J357" t="s">
        <v>28</v>
      </c>
      <c r="K357" t="s">
        <v>28</v>
      </c>
      <c r="L357">
        <v>4.72</v>
      </c>
      <c r="M357">
        <v>4.96</v>
      </c>
      <c r="N357">
        <v>4.33</v>
      </c>
      <c r="O357" t="s">
        <v>34</v>
      </c>
      <c r="P357" t="s">
        <v>32</v>
      </c>
      <c r="Q357" t="s">
        <v>29</v>
      </c>
    </row>
    <row r="358" spans="1:17" x14ac:dyDescent="0.35">
      <c r="A358">
        <v>357</v>
      </c>
      <c r="B358" t="s">
        <v>25</v>
      </c>
      <c r="C358">
        <v>18</v>
      </c>
      <c r="D358" t="s">
        <v>30</v>
      </c>
      <c r="E358" t="s">
        <v>19</v>
      </c>
      <c r="F358">
        <v>29</v>
      </c>
      <c r="G358">
        <v>0.73</v>
      </c>
      <c r="H358" t="s">
        <v>27</v>
      </c>
      <c r="I358">
        <v>44844</v>
      </c>
      <c r="J358" t="s">
        <v>28</v>
      </c>
      <c r="K358" t="s">
        <v>28</v>
      </c>
      <c r="L358">
        <v>3.82</v>
      </c>
      <c r="M358">
        <v>4.6900000000000004</v>
      </c>
      <c r="N358">
        <v>3.69</v>
      </c>
      <c r="O358" t="s">
        <v>34</v>
      </c>
      <c r="P358" t="s">
        <v>32</v>
      </c>
      <c r="Q358" t="s">
        <v>29</v>
      </c>
    </row>
    <row r="359" spans="1:17" x14ac:dyDescent="0.35">
      <c r="A359">
        <v>358</v>
      </c>
      <c r="B359" t="s">
        <v>25</v>
      </c>
      <c r="C359">
        <v>17</v>
      </c>
      <c r="D359" t="s">
        <v>18</v>
      </c>
      <c r="E359" t="s">
        <v>35</v>
      </c>
      <c r="F359">
        <v>18</v>
      </c>
      <c r="G359">
        <v>0.95</v>
      </c>
      <c r="H359" t="s">
        <v>27</v>
      </c>
      <c r="I359">
        <v>12994</v>
      </c>
      <c r="J359" t="s">
        <v>21</v>
      </c>
      <c r="K359" t="s">
        <v>28</v>
      </c>
      <c r="L359">
        <v>4.96</v>
      </c>
      <c r="M359">
        <v>3.86</v>
      </c>
      <c r="N359">
        <v>3.34</v>
      </c>
      <c r="O359" t="s">
        <v>36</v>
      </c>
      <c r="P359" t="s">
        <v>32</v>
      </c>
      <c r="Q359" t="s">
        <v>29</v>
      </c>
    </row>
    <row r="360" spans="1:17" x14ac:dyDescent="0.35">
      <c r="A360">
        <v>359</v>
      </c>
      <c r="B360" t="s">
        <v>17</v>
      </c>
      <c r="C360">
        <v>18</v>
      </c>
      <c r="D360" t="s">
        <v>42</v>
      </c>
      <c r="E360" t="s">
        <v>19</v>
      </c>
      <c r="F360">
        <v>15</v>
      </c>
      <c r="G360">
        <v>0.98</v>
      </c>
      <c r="H360" t="s">
        <v>20</v>
      </c>
      <c r="I360">
        <v>13744</v>
      </c>
      <c r="J360" t="s">
        <v>28</v>
      </c>
      <c r="K360" t="s">
        <v>28</v>
      </c>
      <c r="L360">
        <v>4.3</v>
      </c>
      <c r="M360">
        <v>4.8600000000000003</v>
      </c>
      <c r="N360">
        <v>3.16</v>
      </c>
      <c r="O360" t="s">
        <v>36</v>
      </c>
      <c r="P360" t="s">
        <v>32</v>
      </c>
      <c r="Q360" t="s">
        <v>29</v>
      </c>
    </row>
    <row r="361" spans="1:17" x14ac:dyDescent="0.35">
      <c r="A361">
        <v>360</v>
      </c>
      <c r="B361" t="s">
        <v>17</v>
      </c>
      <c r="C361">
        <v>17</v>
      </c>
      <c r="D361" t="s">
        <v>41</v>
      </c>
      <c r="E361" t="s">
        <v>35</v>
      </c>
      <c r="F361">
        <v>25</v>
      </c>
      <c r="G361">
        <v>0.75</v>
      </c>
      <c r="H361" t="s">
        <v>40</v>
      </c>
      <c r="I361">
        <v>57234</v>
      </c>
      <c r="J361" t="s">
        <v>21</v>
      </c>
      <c r="K361" t="s">
        <v>28</v>
      </c>
      <c r="L361">
        <v>4.4800000000000004</v>
      </c>
      <c r="M361">
        <v>3.64</v>
      </c>
      <c r="N361">
        <v>4.3899999999999997</v>
      </c>
      <c r="O361" t="s">
        <v>34</v>
      </c>
      <c r="P361" t="s">
        <v>32</v>
      </c>
      <c r="Q361" t="s">
        <v>29</v>
      </c>
    </row>
    <row r="362" spans="1:17" x14ac:dyDescent="0.35">
      <c r="A362">
        <v>361</v>
      </c>
      <c r="B362" t="s">
        <v>25</v>
      </c>
      <c r="C362">
        <v>16</v>
      </c>
      <c r="D362" t="s">
        <v>33</v>
      </c>
      <c r="E362" t="s">
        <v>19</v>
      </c>
      <c r="F362">
        <v>7</v>
      </c>
      <c r="G362">
        <v>0.81</v>
      </c>
      <c r="H362" t="s">
        <v>20</v>
      </c>
      <c r="I362">
        <v>57291</v>
      </c>
      <c r="J362" t="s">
        <v>28</v>
      </c>
      <c r="K362" t="s">
        <v>21</v>
      </c>
      <c r="L362">
        <v>3.06</v>
      </c>
      <c r="M362">
        <v>4.2</v>
      </c>
      <c r="N362">
        <v>4.57</v>
      </c>
      <c r="O362" t="s">
        <v>22</v>
      </c>
      <c r="P362" t="s">
        <v>23</v>
      </c>
      <c r="Q362" t="s">
        <v>24</v>
      </c>
    </row>
    <row r="363" spans="1:17" x14ac:dyDescent="0.35">
      <c r="A363">
        <v>362</v>
      </c>
      <c r="B363" t="s">
        <v>17</v>
      </c>
      <c r="C363">
        <v>16</v>
      </c>
      <c r="D363" t="s">
        <v>42</v>
      </c>
      <c r="E363" t="s">
        <v>19</v>
      </c>
      <c r="F363">
        <v>13</v>
      </c>
      <c r="G363">
        <v>0.8</v>
      </c>
      <c r="H363" t="s">
        <v>40</v>
      </c>
      <c r="I363">
        <v>37332</v>
      </c>
      <c r="J363" t="s">
        <v>28</v>
      </c>
      <c r="K363" t="s">
        <v>21</v>
      </c>
      <c r="L363">
        <v>3.24</v>
      </c>
      <c r="M363">
        <v>4.83</v>
      </c>
      <c r="N363">
        <v>4.6500000000000004</v>
      </c>
      <c r="O363" t="s">
        <v>22</v>
      </c>
      <c r="P363" t="s">
        <v>23</v>
      </c>
      <c r="Q363" t="s">
        <v>24</v>
      </c>
    </row>
    <row r="364" spans="1:17" x14ac:dyDescent="0.35">
      <c r="A364">
        <v>363</v>
      </c>
      <c r="B364" t="s">
        <v>17</v>
      </c>
      <c r="C364">
        <v>15</v>
      </c>
      <c r="D364" t="s">
        <v>18</v>
      </c>
      <c r="E364" t="s">
        <v>19</v>
      </c>
      <c r="F364">
        <v>18</v>
      </c>
      <c r="G364">
        <v>0.8</v>
      </c>
      <c r="H364" t="s">
        <v>31</v>
      </c>
      <c r="I364">
        <v>15594</v>
      </c>
      <c r="J364" t="s">
        <v>28</v>
      </c>
      <c r="K364" t="s">
        <v>28</v>
      </c>
      <c r="L364">
        <v>4.2699999999999996</v>
      </c>
      <c r="M364">
        <v>4.46</v>
      </c>
      <c r="N364">
        <v>4.83</v>
      </c>
      <c r="O364" t="s">
        <v>22</v>
      </c>
      <c r="P364" t="s">
        <v>32</v>
      </c>
      <c r="Q364" t="s">
        <v>24</v>
      </c>
    </row>
    <row r="365" spans="1:17" x14ac:dyDescent="0.35">
      <c r="A365">
        <v>364</v>
      </c>
      <c r="B365" t="s">
        <v>25</v>
      </c>
      <c r="C365">
        <v>16</v>
      </c>
      <c r="D365" t="s">
        <v>26</v>
      </c>
      <c r="E365" t="s">
        <v>19</v>
      </c>
      <c r="F365">
        <v>13</v>
      </c>
      <c r="G365">
        <v>0.67</v>
      </c>
      <c r="H365" t="s">
        <v>27</v>
      </c>
      <c r="I365">
        <v>50299</v>
      </c>
      <c r="J365" t="s">
        <v>28</v>
      </c>
      <c r="K365" t="s">
        <v>21</v>
      </c>
      <c r="L365">
        <v>4.8</v>
      </c>
      <c r="M365">
        <v>4.12</v>
      </c>
      <c r="N365">
        <v>4.76</v>
      </c>
      <c r="O365" t="s">
        <v>22</v>
      </c>
      <c r="P365" t="s">
        <v>23</v>
      </c>
      <c r="Q365" t="s">
        <v>29</v>
      </c>
    </row>
    <row r="366" spans="1:17" x14ac:dyDescent="0.35">
      <c r="A366">
        <v>365</v>
      </c>
      <c r="B366" t="s">
        <v>17</v>
      </c>
      <c r="C366">
        <v>18</v>
      </c>
      <c r="D366" t="s">
        <v>26</v>
      </c>
      <c r="E366" t="s">
        <v>19</v>
      </c>
      <c r="F366">
        <v>8</v>
      </c>
      <c r="G366">
        <v>0.75</v>
      </c>
      <c r="H366" t="s">
        <v>31</v>
      </c>
      <c r="I366">
        <v>17371</v>
      </c>
      <c r="J366" t="s">
        <v>21</v>
      </c>
      <c r="K366" t="s">
        <v>21</v>
      </c>
      <c r="L366">
        <v>4.25</v>
      </c>
      <c r="M366">
        <v>3.94</v>
      </c>
      <c r="N366">
        <v>5</v>
      </c>
      <c r="O366" t="s">
        <v>22</v>
      </c>
      <c r="P366" t="s">
        <v>23</v>
      </c>
      <c r="Q366" t="s">
        <v>24</v>
      </c>
    </row>
    <row r="367" spans="1:17" x14ac:dyDescent="0.35">
      <c r="A367">
        <v>366</v>
      </c>
      <c r="B367" t="s">
        <v>17</v>
      </c>
      <c r="C367">
        <v>16</v>
      </c>
      <c r="D367" t="s">
        <v>18</v>
      </c>
      <c r="E367" t="s">
        <v>19</v>
      </c>
      <c r="F367">
        <v>8</v>
      </c>
      <c r="G367">
        <v>0.9</v>
      </c>
      <c r="H367" t="s">
        <v>40</v>
      </c>
      <c r="I367">
        <v>57315</v>
      </c>
      <c r="J367" t="s">
        <v>28</v>
      </c>
      <c r="K367" t="s">
        <v>28</v>
      </c>
      <c r="L367">
        <v>3.27</v>
      </c>
      <c r="M367">
        <v>4.0599999999999996</v>
      </c>
      <c r="N367">
        <v>3.49</v>
      </c>
      <c r="O367" t="s">
        <v>36</v>
      </c>
      <c r="P367" t="s">
        <v>23</v>
      </c>
      <c r="Q367" t="s">
        <v>24</v>
      </c>
    </row>
    <row r="368" spans="1:17" x14ac:dyDescent="0.35">
      <c r="A368">
        <v>367</v>
      </c>
      <c r="B368" t="s">
        <v>25</v>
      </c>
      <c r="C368">
        <v>17</v>
      </c>
      <c r="D368" t="s">
        <v>30</v>
      </c>
      <c r="E368" t="s">
        <v>35</v>
      </c>
      <c r="F368">
        <v>12</v>
      </c>
      <c r="G368">
        <v>0.69</v>
      </c>
      <c r="H368" t="s">
        <v>20</v>
      </c>
      <c r="I368">
        <v>28028</v>
      </c>
      <c r="J368" t="s">
        <v>28</v>
      </c>
      <c r="K368" t="s">
        <v>21</v>
      </c>
      <c r="L368">
        <v>3.23</v>
      </c>
      <c r="M368">
        <v>4.26</v>
      </c>
      <c r="N368">
        <v>4.53</v>
      </c>
      <c r="O368" t="s">
        <v>22</v>
      </c>
      <c r="P368" t="s">
        <v>23</v>
      </c>
      <c r="Q368" t="s">
        <v>24</v>
      </c>
    </row>
    <row r="369" spans="1:17" x14ac:dyDescent="0.35">
      <c r="A369">
        <v>368</v>
      </c>
      <c r="B369" t="s">
        <v>25</v>
      </c>
      <c r="C369">
        <v>16</v>
      </c>
      <c r="D369" t="s">
        <v>39</v>
      </c>
      <c r="E369" t="s">
        <v>19</v>
      </c>
      <c r="F369">
        <v>6</v>
      </c>
      <c r="G369">
        <v>0.91</v>
      </c>
      <c r="H369" t="s">
        <v>20</v>
      </c>
      <c r="I369">
        <v>45912</v>
      </c>
      <c r="J369" t="s">
        <v>21</v>
      </c>
      <c r="K369" t="s">
        <v>28</v>
      </c>
      <c r="L369">
        <v>4.6900000000000004</v>
      </c>
      <c r="M369">
        <v>3.98</v>
      </c>
      <c r="N369">
        <v>4.17</v>
      </c>
      <c r="O369" t="s">
        <v>34</v>
      </c>
      <c r="P369" t="s">
        <v>23</v>
      </c>
      <c r="Q369" t="s">
        <v>29</v>
      </c>
    </row>
    <row r="370" spans="1:17" x14ac:dyDescent="0.35">
      <c r="A370">
        <v>369</v>
      </c>
      <c r="B370" t="s">
        <v>17</v>
      </c>
      <c r="C370">
        <v>15</v>
      </c>
      <c r="D370" t="s">
        <v>39</v>
      </c>
      <c r="E370" t="s">
        <v>35</v>
      </c>
      <c r="F370">
        <v>13</v>
      </c>
      <c r="G370">
        <v>0.93</v>
      </c>
      <c r="H370" t="s">
        <v>31</v>
      </c>
      <c r="I370">
        <v>23990</v>
      </c>
      <c r="J370" t="s">
        <v>28</v>
      </c>
      <c r="K370" t="s">
        <v>21</v>
      </c>
      <c r="L370">
        <v>3.28</v>
      </c>
      <c r="M370">
        <v>4.95</v>
      </c>
      <c r="N370">
        <v>3.52</v>
      </c>
      <c r="O370" t="s">
        <v>34</v>
      </c>
      <c r="P370" t="s">
        <v>23</v>
      </c>
      <c r="Q370" t="s">
        <v>24</v>
      </c>
    </row>
    <row r="371" spans="1:17" x14ac:dyDescent="0.35">
      <c r="A371">
        <v>370</v>
      </c>
      <c r="B371" t="s">
        <v>17</v>
      </c>
      <c r="C371">
        <v>16</v>
      </c>
      <c r="D371" t="s">
        <v>30</v>
      </c>
      <c r="E371" t="s">
        <v>35</v>
      </c>
      <c r="F371">
        <v>18</v>
      </c>
      <c r="G371">
        <v>0.68</v>
      </c>
      <c r="H371" t="s">
        <v>40</v>
      </c>
      <c r="I371">
        <v>56851</v>
      </c>
      <c r="J371" t="s">
        <v>21</v>
      </c>
      <c r="K371" t="s">
        <v>28</v>
      </c>
      <c r="L371">
        <v>4.04</v>
      </c>
      <c r="M371">
        <v>4.9000000000000004</v>
      </c>
      <c r="N371">
        <v>4.96</v>
      </c>
      <c r="O371" t="s">
        <v>22</v>
      </c>
      <c r="P371" t="s">
        <v>32</v>
      </c>
      <c r="Q371" t="s">
        <v>24</v>
      </c>
    </row>
    <row r="372" spans="1:17" x14ac:dyDescent="0.35">
      <c r="A372">
        <v>371</v>
      </c>
      <c r="B372" t="s">
        <v>25</v>
      </c>
      <c r="C372">
        <v>17</v>
      </c>
      <c r="D372" t="s">
        <v>26</v>
      </c>
      <c r="E372" t="s">
        <v>19</v>
      </c>
      <c r="F372">
        <v>26</v>
      </c>
      <c r="G372">
        <v>0.76</v>
      </c>
      <c r="H372" t="s">
        <v>31</v>
      </c>
      <c r="I372">
        <v>26626</v>
      </c>
      <c r="J372" t="s">
        <v>21</v>
      </c>
      <c r="K372" t="s">
        <v>28</v>
      </c>
      <c r="L372">
        <v>3.07</v>
      </c>
      <c r="M372">
        <v>4.8099999999999996</v>
      </c>
      <c r="N372">
        <v>4.8</v>
      </c>
      <c r="O372" t="s">
        <v>22</v>
      </c>
      <c r="P372" t="s">
        <v>32</v>
      </c>
      <c r="Q372" t="s">
        <v>24</v>
      </c>
    </row>
    <row r="373" spans="1:17" x14ac:dyDescent="0.35">
      <c r="A373">
        <v>372</v>
      </c>
      <c r="B373" t="s">
        <v>25</v>
      </c>
      <c r="C373">
        <v>17</v>
      </c>
      <c r="D373" t="s">
        <v>26</v>
      </c>
      <c r="E373" t="s">
        <v>35</v>
      </c>
      <c r="F373">
        <v>13</v>
      </c>
      <c r="G373">
        <v>0.7</v>
      </c>
      <c r="H373" t="s">
        <v>31</v>
      </c>
      <c r="I373">
        <v>30469</v>
      </c>
      <c r="J373" t="s">
        <v>28</v>
      </c>
      <c r="K373" t="s">
        <v>21</v>
      </c>
      <c r="L373">
        <v>3.16</v>
      </c>
      <c r="M373">
        <v>4.13</v>
      </c>
      <c r="N373">
        <v>3.26</v>
      </c>
      <c r="O373" t="s">
        <v>36</v>
      </c>
      <c r="P373" t="s">
        <v>23</v>
      </c>
      <c r="Q373" t="s">
        <v>24</v>
      </c>
    </row>
    <row r="374" spans="1:17" x14ac:dyDescent="0.35">
      <c r="A374">
        <v>373</v>
      </c>
      <c r="B374" t="s">
        <v>25</v>
      </c>
      <c r="C374">
        <v>18</v>
      </c>
      <c r="D374" t="s">
        <v>33</v>
      </c>
      <c r="E374" t="s">
        <v>19</v>
      </c>
      <c r="F374">
        <v>28</v>
      </c>
      <c r="G374">
        <v>0.91</v>
      </c>
      <c r="H374" t="s">
        <v>27</v>
      </c>
      <c r="I374">
        <v>50722</v>
      </c>
      <c r="J374" t="s">
        <v>28</v>
      </c>
      <c r="K374" t="s">
        <v>21</v>
      </c>
      <c r="L374">
        <v>4.34</v>
      </c>
      <c r="M374">
        <v>4.54</v>
      </c>
      <c r="N374">
        <v>3.05</v>
      </c>
      <c r="O374" t="s">
        <v>36</v>
      </c>
      <c r="P374" t="s">
        <v>32</v>
      </c>
      <c r="Q374" t="s">
        <v>29</v>
      </c>
    </row>
    <row r="375" spans="1:17" x14ac:dyDescent="0.35">
      <c r="A375">
        <v>374</v>
      </c>
      <c r="B375" t="s">
        <v>25</v>
      </c>
      <c r="C375">
        <v>16</v>
      </c>
      <c r="D375" t="s">
        <v>26</v>
      </c>
      <c r="E375" t="s">
        <v>35</v>
      </c>
      <c r="F375">
        <v>27</v>
      </c>
      <c r="G375">
        <v>0.69</v>
      </c>
      <c r="H375" t="s">
        <v>31</v>
      </c>
      <c r="I375">
        <v>50037</v>
      </c>
      <c r="J375" t="s">
        <v>21</v>
      </c>
      <c r="K375" t="s">
        <v>28</v>
      </c>
      <c r="L375">
        <v>4.38</v>
      </c>
      <c r="M375">
        <v>4.8499999999999996</v>
      </c>
      <c r="N375">
        <v>4.38</v>
      </c>
      <c r="O375" t="s">
        <v>34</v>
      </c>
      <c r="P375" t="s">
        <v>32</v>
      </c>
      <c r="Q375" t="s">
        <v>38</v>
      </c>
    </row>
    <row r="376" spans="1:17" x14ac:dyDescent="0.35">
      <c r="A376">
        <v>375</v>
      </c>
      <c r="B376" t="s">
        <v>17</v>
      </c>
      <c r="C376">
        <v>17</v>
      </c>
      <c r="D376" t="s">
        <v>42</v>
      </c>
      <c r="E376" t="s">
        <v>19</v>
      </c>
      <c r="F376">
        <v>20</v>
      </c>
      <c r="G376">
        <v>0.81</v>
      </c>
      <c r="H376" t="s">
        <v>27</v>
      </c>
      <c r="I376">
        <v>17130</v>
      </c>
      <c r="J376" t="s">
        <v>21</v>
      </c>
      <c r="K376" t="s">
        <v>28</v>
      </c>
      <c r="L376">
        <v>3.68</v>
      </c>
      <c r="M376">
        <v>4.78</v>
      </c>
      <c r="N376">
        <v>4.21</v>
      </c>
      <c r="O376" t="s">
        <v>34</v>
      </c>
      <c r="P376" t="s">
        <v>32</v>
      </c>
      <c r="Q376" t="s">
        <v>24</v>
      </c>
    </row>
    <row r="377" spans="1:17" x14ac:dyDescent="0.35">
      <c r="A377">
        <v>376</v>
      </c>
      <c r="B377" t="s">
        <v>25</v>
      </c>
      <c r="C377">
        <v>15</v>
      </c>
      <c r="D377" t="s">
        <v>26</v>
      </c>
      <c r="E377" t="s">
        <v>35</v>
      </c>
      <c r="F377">
        <v>21</v>
      </c>
      <c r="G377">
        <v>0.76</v>
      </c>
      <c r="H377" t="s">
        <v>27</v>
      </c>
      <c r="I377">
        <v>16828</v>
      </c>
      <c r="J377" t="s">
        <v>21</v>
      </c>
      <c r="K377" t="s">
        <v>28</v>
      </c>
      <c r="L377">
        <v>3.43</v>
      </c>
      <c r="M377">
        <v>4.12</v>
      </c>
      <c r="N377">
        <v>4.87</v>
      </c>
      <c r="O377" t="s">
        <v>22</v>
      </c>
      <c r="P377" t="s">
        <v>32</v>
      </c>
      <c r="Q377" t="s">
        <v>24</v>
      </c>
    </row>
    <row r="378" spans="1:17" x14ac:dyDescent="0.35">
      <c r="A378">
        <v>377</v>
      </c>
      <c r="B378" t="s">
        <v>25</v>
      </c>
      <c r="C378">
        <v>18</v>
      </c>
      <c r="D378" t="s">
        <v>37</v>
      </c>
      <c r="E378" t="s">
        <v>19</v>
      </c>
      <c r="F378">
        <v>20</v>
      </c>
      <c r="G378">
        <v>0.63</v>
      </c>
      <c r="H378" t="s">
        <v>20</v>
      </c>
      <c r="I378">
        <v>51612</v>
      </c>
      <c r="J378" t="s">
        <v>28</v>
      </c>
      <c r="K378" t="s">
        <v>21</v>
      </c>
      <c r="L378">
        <v>4.63</v>
      </c>
      <c r="M378">
        <v>3.67</v>
      </c>
      <c r="N378">
        <v>3.47</v>
      </c>
      <c r="O378" t="s">
        <v>36</v>
      </c>
      <c r="P378" t="s">
        <v>32</v>
      </c>
      <c r="Q378" t="s">
        <v>29</v>
      </c>
    </row>
    <row r="379" spans="1:17" x14ac:dyDescent="0.35">
      <c r="A379">
        <v>378</v>
      </c>
      <c r="B379" t="s">
        <v>17</v>
      </c>
      <c r="C379">
        <v>15</v>
      </c>
      <c r="D379" t="s">
        <v>33</v>
      </c>
      <c r="E379" t="s">
        <v>19</v>
      </c>
      <c r="F379">
        <v>16</v>
      </c>
      <c r="G379">
        <v>0.84</v>
      </c>
      <c r="H379" t="s">
        <v>27</v>
      </c>
      <c r="I379">
        <v>56988</v>
      </c>
      <c r="J379" t="s">
        <v>21</v>
      </c>
      <c r="K379" t="s">
        <v>21</v>
      </c>
      <c r="L379">
        <v>3.43</v>
      </c>
      <c r="M379">
        <v>3.61</v>
      </c>
      <c r="N379">
        <v>3.17</v>
      </c>
      <c r="O379" t="s">
        <v>36</v>
      </c>
      <c r="P379" t="s">
        <v>32</v>
      </c>
      <c r="Q379" t="s">
        <v>29</v>
      </c>
    </row>
    <row r="380" spans="1:17" x14ac:dyDescent="0.35">
      <c r="A380">
        <v>379</v>
      </c>
      <c r="B380" t="s">
        <v>25</v>
      </c>
      <c r="C380">
        <v>16</v>
      </c>
      <c r="D380" t="s">
        <v>41</v>
      </c>
      <c r="E380" t="s">
        <v>19</v>
      </c>
      <c r="F380">
        <v>7</v>
      </c>
      <c r="G380">
        <v>0.8</v>
      </c>
      <c r="H380" t="s">
        <v>27</v>
      </c>
      <c r="I380">
        <v>49099</v>
      </c>
      <c r="J380" t="s">
        <v>21</v>
      </c>
      <c r="K380" t="s">
        <v>21</v>
      </c>
      <c r="L380">
        <v>4.08</v>
      </c>
      <c r="M380">
        <v>4.37</v>
      </c>
      <c r="N380">
        <v>3.52</v>
      </c>
      <c r="O380" t="s">
        <v>34</v>
      </c>
      <c r="P380" t="s">
        <v>23</v>
      </c>
      <c r="Q380" t="s">
        <v>29</v>
      </c>
    </row>
    <row r="381" spans="1:17" x14ac:dyDescent="0.35">
      <c r="A381">
        <v>380</v>
      </c>
      <c r="B381" t="s">
        <v>17</v>
      </c>
      <c r="C381">
        <v>16</v>
      </c>
      <c r="D381" t="s">
        <v>26</v>
      </c>
      <c r="E381" t="s">
        <v>19</v>
      </c>
      <c r="F381">
        <v>15</v>
      </c>
      <c r="G381">
        <v>0.96</v>
      </c>
      <c r="H381" t="s">
        <v>20</v>
      </c>
      <c r="I381">
        <v>56165</v>
      </c>
      <c r="J381" t="s">
        <v>21</v>
      </c>
      <c r="K381" t="s">
        <v>21</v>
      </c>
      <c r="L381">
        <v>4.9400000000000004</v>
      </c>
      <c r="M381">
        <v>4.46</v>
      </c>
      <c r="N381">
        <v>3.04</v>
      </c>
      <c r="O381" t="s">
        <v>36</v>
      </c>
      <c r="P381" t="s">
        <v>32</v>
      </c>
      <c r="Q381" t="s">
        <v>29</v>
      </c>
    </row>
    <row r="382" spans="1:17" x14ac:dyDescent="0.35">
      <c r="A382">
        <v>381</v>
      </c>
      <c r="B382" t="s">
        <v>25</v>
      </c>
      <c r="C382">
        <v>16</v>
      </c>
      <c r="D382" t="s">
        <v>30</v>
      </c>
      <c r="E382" t="s">
        <v>35</v>
      </c>
      <c r="F382">
        <v>18</v>
      </c>
      <c r="G382">
        <v>0.97</v>
      </c>
      <c r="H382" t="s">
        <v>31</v>
      </c>
      <c r="I382">
        <v>27883</v>
      </c>
      <c r="J382" t="s">
        <v>28</v>
      </c>
      <c r="K382" t="s">
        <v>28</v>
      </c>
      <c r="L382">
        <v>3.3</v>
      </c>
      <c r="M382">
        <v>4.7699999999999996</v>
      </c>
      <c r="N382">
        <v>3.07</v>
      </c>
      <c r="O382" t="s">
        <v>36</v>
      </c>
      <c r="P382" t="s">
        <v>32</v>
      </c>
      <c r="Q382" t="s">
        <v>29</v>
      </c>
    </row>
    <row r="383" spans="1:17" x14ac:dyDescent="0.35">
      <c r="A383">
        <v>382</v>
      </c>
      <c r="B383" t="s">
        <v>25</v>
      </c>
      <c r="C383">
        <v>18</v>
      </c>
      <c r="D383" t="s">
        <v>41</v>
      </c>
      <c r="E383" t="s">
        <v>19</v>
      </c>
      <c r="F383">
        <v>22</v>
      </c>
      <c r="G383">
        <v>0.6</v>
      </c>
      <c r="H383" t="s">
        <v>40</v>
      </c>
      <c r="I383">
        <v>53059</v>
      </c>
      <c r="J383" t="s">
        <v>21</v>
      </c>
      <c r="K383" t="s">
        <v>28</v>
      </c>
      <c r="L383">
        <v>4.88</v>
      </c>
      <c r="M383">
        <v>3.94</v>
      </c>
      <c r="N383">
        <v>4.83</v>
      </c>
      <c r="O383" t="s">
        <v>22</v>
      </c>
      <c r="P383" t="s">
        <v>32</v>
      </c>
      <c r="Q383" t="s">
        <v>29</v>
      </c>
    </row>
    <row r="384" spans="1:17" x14ac:dyDescent="0.35">
      <c r="A384">
        <v>383</v>
      </c>
      <c r="B384" t="s">
        <v>25</v>
      </c>
      <c r="C384">
        <v>17</v>
      </c>
      <c r="D384" t="s">
        <v>42</v>
      </c>
      <c r="E384" t="s">
        <v>35</v>
      </c>
      <c r="F384">
        <v>25</v>
      </c>
      <c r="G384">
        <v>0.84</v>
      </c>
      <c r="H384" t="s">
        <v>40</v>
      </c>
      <c r="I384">
        <v>28542</v>
      </c>
      <c r="J384" t="s">
        <v>28</v>
      </c>
      <c r="K384" t="s">
        <v>28</v>
      </c>
      <c r="L384">
        <v>3.37</v>
      </c>
      <c r="M384">
        <v>3.75</v>
      </c>
      <c r="N384">
        <v>3.7</v>
      </c>
      <c r="O384" t="s">
        <v>34</v>
      </c>
      <c r="P384" t="s">
        <v>32</v>
      </c>
      <c r="Q384" t="s">
        <v>24</v>
      </c>
    </row>
    <row r="385" spans="1:17" x14ac:dyDescent="0.35">
      <c r="A385">
        <v>384</v>
      </c>
      <c r="B385" t="s">
        <v>17</v>
      </c>
      <c r="C385">
        <v>18</v>
      </c>
      <c r="D385" t="s">
        <v>30</v>
      </c>
      <c r="E385" t="s">
        <v>35</v>
      </c>
      <c r="F385">
        <v>25</v>
      </c>
      <c r="G385">
        <v>0.95</v>
      </c>
      <c r="H385" t="s">
        <v>40</v>
      </c>
      <c r="I385">
        <v>52932</v>
      </c>
      <c r="J385" t="s">
        <v>28</v>
      </c>
      <c r="K385" t="s">
        <v>28</v>
      </c>
      <c r="L385">
        <v>4.13</v>
      </c>
      <c r="M385">
        <v>4.07</v>
      </c>
      <c r="N385">
        <v>3.82</v>
      </c>
      <c r="O385" t="s">
        <v>34</v>
      </c>
      <c r="P385" t="s">
        <v>32</v>
      </c>
      <c r="Q385" t="s">
        <v>29</v>
      </c>
    </row>
    <row r="386" spans="1:17" x14ac:dyDescent="0.35">
      <c r="A386">
        <v>385</v>
      </c>
      <c r="B386" t="s">
        <v>17</v>
      </c>
      <c r="C386">
        <v>15</v>
      </c>
      <c r="D386" t="s">
        <v>41</v>
      </c>
      <c r="E386" t="s">
        <v>35</v>
      </c>
      <c r="F386">
        <v>9</v>
      </c>
      <c r="G386">
        <v>0.76</v>
      </c>
      <c r="H386" t="s">
        <v>31</v>
      </c>
      <c r="I386">
        <v>20450</v>
      </c>
      <c r="J386" t="s">
        <v>21</v>
      </c>
      <c r="K386" t="s">
        <v>21</v>
      </c>
      <c r="L386">
        <v>3.75</v>
      </c>
      <c r="M386">
        <v>4.03</v>
      </c>
      <c r="N386">
        <v>3.04</v>
      </c>
      <c r="O386" t="s">
        <v>36</v>
      </c>
      <c r="P386" t="s">
        <v>23</v>
      </c>
      <c r="Q386" t="s">
        <v>29</v>
      </c>
    </row>
    <row r="387" spans="1:17" x14ac:dyDescent="0.35">
      <c r="A387">
        <v>386</v>
      </c>
      <c r="B387" t="s">
        <v>25</v>
      </c>
      <c r="C387">
        <v>18</v>
      </c>
      <c r="D387" t="s">
        <v>30</v>
      </c>
      <c r="E387" t="s">
        <v>19</v>
      </c>
      <c r="F387">
        <v>20</v>
      </c>
      <c r="G387">
        <v>0.83</v>
      </c>
      <c r="H387" t="s">
        <v>27</v>
      </c>
      <c r="I387">
        <v>30423</v>
      </c>
      <c r="J387" t="s">
        <v>28</v>
      </c>
      <c r="K387" t="s">
        <v>28</v>
      </c>
      <c r="L387">
        <v>4.93</v>
      </c>
      <c r="M387">
        <v>3.7</v>
      </c>
      <c r="N387">
        <v>3.54</v>
      </c>
      <c r="O387" t="s">
        <v>34</v>
      </c>
      <c r="P387" t="s">
        <v>32</v>
      </c>
      <c r="Q387" t="s">
        <v>29</v>
      </c>
    </row>
    <row r="388" spans="1:17" x14ac:dyDescent="0.35">
      <c r="A388">
        <v>387</v>
      </c>
      <c r="B388" t="s">
        <v>17</v>
      </c>
      <c r="C388">
        <v>15</v>
      </c>
      <c r="D388" t="s">
        <v>42</v>
      </c>
      <c r="E388" t="s">
        <v>35</v>
      </c>
      <c r="F388">
        <v>24</v>
      </c>
      <c r="G388">
        <v>0.61</v>
      </c>
      <c r="H388" t="s">
        <v>40</v>
      </c>
      <c r="I388">
        <v>12035</v>
      </c>
      <c r="J388" t="s">
        <v>21</v>
      </c>
      <c r="K388" t="s">
        <v>28</v>
      </c>
      <c r="L388">
        <v>3.55</v>
      </c>
      <c r="M388">
        <v>4.51</v>
      </c>
      <c r="N388">
        <v>4.6100000000000003</v>
      </c>
      <c r="O388" t="s">
        <v>22</v>
      </c>
      <c r="P388" t="s">
        <v>32</v>
      </c>
      <c r="Q388" t="s">
        <v>24</v>
      </c>
    </row>
    <row r="389" spans="1:17" x14ac:dyDescent="0.35">
      <c r="A389">
        <v>388</v>
      </c>
      <c r="B389" t="s">
        <v>17</v>
      </c>
      <c r="C389">
        <v>18</v>
      </c>
      <c r="D389" t="s">
        <v>33</v>
      </c>
      <c r="E389" t="s">
        <v>35</v>
      </c>
      <c r="F389">
        <v>9</v>
      </c>
      <c r="G389">
        <v>0.99</v>
      </c>
      <c r="H389" t="s">
        <v>31</v>
      </c>
      <c r="I389">
        <v>54231</v>
      </c>
      <c r="J389" t="s">
        <v>28</v>
      </c>
      <c r="K389" t="s">
        <v>21</v>
      </c>
      <c r="L389">
        <v>3.8</v>
      </c>
      <c r="M389">
        <v>4.26</v>
      </c>
      <c r="N389">
        <v>4.2300000000000004</v>
      </c>
      <c r="O389" t="s">
        <v>34</v>
      </c>
      <c r="P389" t="s">
        <v>23</v>
      </c>
      <c r="Q389" t="s">
        <v>24</v>
      </c>
    </row>
    <row r="390" spans="1:17" x14ac:dyDescent="0.35">
      <c r="A390">
        <v>389</v>
      </c>
      <c r="B390" t="s">
        <v>17</v>
      </c>
      <c r="C390">
        <v>17</v>
      </c>
      <c r="D390" t="s">
        <v>37</v>
      </c>
      <c r="E390" t="s">
        <v>35</v>
      </c>
      <c r="F390">
        <v>7</v>
      </c>
      <c r="G390">
        <v>0.74</v>
      </c>
      <c r="H390" t="s">
        <v>27</v>
      </c>
      <c r="I390">
        <v>50745</v>
      </c>
      <c r="J390" t="s">
        <v>28</v>
      </c>
      <c r="K390" t="s">
        <v>21</v>
      </c>
      <c r="L390">
        <v>4.97</v>
      </c>
      <c r="M390">
        <v>4.58</v>
      </c>
      <c r="N390">
        <v>4.51</v>
      </c>
      <c r="O390" t="s">
        <v>22</v>
      </c>
      <c r="P390" t="s">
        <v>23</v>
      </c>
      <c r="Q390" t="s">
        <v>29</v>
      </c>
    </row>
    <row r="391" spans="1:17" x14ac:dyDescent="0.35">
      <c r="A391">
        <v>390</v>
      </c>
      <c r="B391" t="s">
        <v>17</v>
      </c>
      <c r="C391">
        <v>15</v>
      </c>
      <c r="D391" t="s">
        <v>42</v>
      </c>
      <c r="E391" t="s">
        <v>19</v>
      </c>
      <c r="F391">
        <v>16</v>
      </c>
      <c r="G391">
        <v>0.91</v>
      </c>
      <c r="H391" t="s">
        <v>20</v>
      </c>
      <c r="I391">
        <v>27241</v>
      </c>
      <c r="J391" t="s">
        <v>21</v>
      </c>
      <c r="K391" t="s">
        <v>28</v>
      </c>
      <c r="L391">
        <v>4.07</v>
      </c>
      <c r="M391">
        <v>4.03</v>
      </c>
      <c r="N391">
        <v>3.89</v>
      </c>
      <c r="O391" t="s">
        <v>34</v>
      </c>
      <c r="P391" t="s">
        <v>32</v>
      </c>
      <c r="Q391" t="s">
        <v>29</v>
      </c>
    </row>
    <row r="392" spans="1:17" x14ac:dyDescent="0.35">
      <c r="A392">
        <v>391</v>
      </c>
      <c r="B392" t="s">
        <v>17</v>
      </c>
      <c r="C392">
        <v>16</v>
      </c>
      <c r="D392" t="s">
        <v>42</v>
      </c>
      <c r="E392" t="s">
        <v>19</v>
      </c>
      <c r="F392">
        <v>5</v>
      </c>
      <c r="G392">
        <v>0.98</v>
      </c>
      <c r="H392" t="s">
        <v>40</v>
      </c>
      <c r="I392">
        <v>33154</v>
      </c>
      <c r="J392" t="s">
        <v>21</v>
      </c>
      <c r="K392" t="s">
        <v>21</v>
      </c>
      <c r="L392">
        <v>4.01</v>
      </c>
      <c r="M392">
        <v>3.99</v>
      </c>
      <c r="N392">
        <v>3.62</v>
      </c>
      <c r="O392" t="s">
        <v>34</v>
      </c>
      <c r="P392" t="s">
        <v>23</v>
      </c>
      <c r="Q392" t="s">
        <v>29</v>
      </c>
    </row>
    <row r="393" spans="1:17" x14ac:dyDescent="0.35">
      <c r="A393">
        <v>392</v>
      </c>
      <c r="B393" t="s">
        <v>17</v>
      </c>
      <c r="C393">
        <v>16</v>
      </c>
      <c r="D393" t="s">
        <v>30</v>
      </c>
      <c r="E393" t="s">
        <v>35</v>
      </c>
      <c r="F393">
        <v>25</v>
      </c>
      <c r="G393">
        <v>0.65</v>
      </c>
      <c r="H393" t="s">
        <v>27</v>
      </c>
      <c r="I393">
        <v>35625</v>
      </c>
      <c r="J393" t="s">
        <v>21</v>
      </c>
      <c r="K393" t="s">
        <v>28</v>
      </c>
      <c r="L393">
        <v>3.52</v>
      </c>
      <c r="M393">
        <v>4.21</v>
      </c>
      <c r="N393">
        <v>3.97</v>
      </c>
      <c r="O393" t="s">
        <v>34</v>
      </c>
      <c r="P393" t="s">
        <v>32</v>
      </c>
      <c r="Q393" t="s">
        <v>24</v>
      </c>
    </row>
    <row r="394" spans="1:17" x14ac:dyDescent="0.35">
      <c r="A394">
        <v>393</v>
      </c>
      <c r="B394" t="s">
        <v>25</v>
      </c>
      <c r="C394">
        <v>18</v>
      </c>
      <c r="D394" t="s">
        <v>33</v>
      </c>
      <c r="E394" t="s">
        <v>19</v>
      </c>
      <c r="F394">
        <v>13</v>
      </c>
      <c r="G394">
        <v>0.6</v>
      </c>
      <c r="H394" t="s">
        <v>40</v>
      </c>
      <c r="I394">
        <v>54950</v>
      </c>
      <c r="J394" t="s">
        <v>28</v>
      </c>
      <c r="K394" t="s">
        <v>21</v>
      </c>
      <c r="L394">
        <v>4.4000000000000004</v>
      </c>
      <c r="M394">
        <v>4.82</v>
      </c>
      <c r="N394">
        <v>3.65</v>
      </c>
      <c r="O394" t="s">
        <v>34</v>
      </c>
      <c r="P394" t="s">
        <v>23</v>
      </c>
      <c r="Q394" t="s">
        <v>29</v>
      </c>
    </row>
    <row r="395" spans="1:17" x14ac:dyDescent="0.35">
      <c r="A395">
        <v>394</v>
      </c>
      <c r="B395" t="s">
        <v>25</v>
      </c>
      <c r="C395">
        <v>16</v>
      </c>
      <c r="D395" t="s">
        <v>18</v>
      </c>
      <c r="E395" t="s">
        <v>19</v>
      </c>
      <c r="F395">
        <v>13</v>
      </c>
      <c r="G395">
        <v>0.82</v>
      </c>
      <c r="H395" t="s">
        <v>40</v>
      </c>
      <c r="I395">
        <v>43066</v>
      </c>
      <c r="J395" t="s">
        <v>28</v>
      </c>
      <c r="K395" t="s">
        <v>21</v>
      </c>
      <c r="L395">
        <v>3.03</v>
      </c>
      <c r="M395">
        <v>3.56</v>
      </c>
      <c r="N395">
        <v>4.68</v>
      </c>
      <c r="O395" t="s">
        <v>22</v>
      </c>
      <c r="P395" t="s">
        <v>23</v>
      </c>
      <c r="Q395" t="s">
        <v>24</v>
      </c>
    </row>
    <row r="396" spans="1:17" x14ac:dyDescent="0.35">
      <c r="A396">
        <v>395</v>
      </c>
      <c r="B396" t="s">
        <v>17</v>
      </c>
      <c r="C396">
        <v>15</v>
      </c>
      <c r="D396" t="s">
        <v>39</v>
      </c>
      <c r="E396" t="s">
        <v>35</v>
      </c>
      <c r="F396">
        <v>8</v>
      </c>
      <c r="G396">
        <v>0.98</v>
      </c>
      <c r="H396" t="s">
        <v>40</v>
      </c>
      <c r="I396">
        <v>43691</v>
      </c>
      <c r="J396" t="s">
        <v>21</v>
      </c>
      <c r="K396" t="s">
        <v>28</v>
      </c>
      <c r="L396">
        <v>3.1</v>
      </c>
      <c r="M396">
        <v>4.71</v>
      </c>
      <c r="N396">
        <v>3.6</v>
      </c>
      <c r="O396" t="s">
        <v>34</v>
      </c>
      <c r="P396" t="s">
        <v>23</v>
      </c>
      <c r="Q396" t="s">
        <v>24</v>
      </c>
    </row>
    <row r="397" spans="1:17" x14ac:dyDescent="0.35">
      <c r="A397">
        <v>396</v>
      </c>
      <c r="B397" t="s">
        <v>25</v>
      </c>
      <c r="C397">
        <v>16</v>
      </c>
      <c r="D397" t="s">
        <v>26</v>
      </c>
      <c r="E397" t="s">
        <v>35</v>
      </c>
      <c r="F397">
        <v>7</v>
      </c>
      <c r="G397">
        <v>0.76</v>
      </c>
      <c r="H397" t="s">
        <v>27</v>
      </c>
      <c r="I397">
        <v>23331</v>
      </c>
      <c r="J397" t="s">
        <v>21</v>
      </c>
      <c r="K397" t="s">
        <v>21</v>
      </c>
      <c r="L397">
        <v>4.2</v>
      </c>
      <c r="M397">
        <v>4.05</v>
      </c>
      <c r="N397">
        <v>4.32</v>
      </c>
      <c r="O397" t="s">
        <v>34</v>
      </c>
      <c r="P397" t="s">
        <v>23</v>
      </c>
      <c r="Q397" t="s">
        <v>24</v>
      </c>
    </row>
    <row r="398" spans="1:17" x14ac:dyDescent="0.35">
      <c r="A398">
        <v>397</v>
      </c>
      <c r="B398" t="s">
        <v>25</v>
      </c>
      <c r="C398">
        <v>17</v>
      </c>
      <c r="D398" t="s">
        <v>26</v>
      </c>
      <c r="E398" t="s">
        <v>19</v>
      </c>
      <c r="F398">
        <v>21</v>
      </c>
      <c r="G398">
        <v>0.93</v>
      </c>
      <c r="H398" t="s">
        <v>31</v>
      </c>
      <c r="I398">
        <v>30690</v>
      </c>
      <c r="J398" t="s">
        <v>28</v>
      </c>
      <c r="K398" t="s">
        <v>28</v>
      </c>
      <c r="L398">
        <v>3.68</v>
      </c>
      <c r="M398">
        <v>4.78</v>
      </c>
      <c r="N398">
        <v>3.27</v>
      </c>
      <c r="O398" t="s">
        <v>36</v>
      </c>
      <c r="P398" t="s">
        <v>32</v>
      </c>
      <c r="Q398" t="s">
        <v>29</v>
      </c>
    </row>
    <row r="399" spans="1:17" x14ac:dyDescent="0.35">
      <c r="A399">
        <v>398</v>
      </c>
      <c r="B399" t="s">
        <v>25</v>
      </c>
      <c r="C399">
        <v>17</v>
      </c>
      <c r="D399" t="s">
        <v>37</v>
      </c>
      <c r="E399" t="s">
        <v>35</v>
      </c>
      <c r="F399">
        <v>6</v>
      </c>
      <c r="G399">
        <v>0.88</v>
      </c>
      <c r="H399" t="s">
        <v>27</v>
      </c>
      <c r="I399">
        <v>29183</v>
      </c>
      <c r="J399" t="s">
        <v>28</v>
      </c>
      <c r="K399" t="s">
        <v>21</v>
      </c>
      <c r="L399">
        <v>4.91</v>
      </c>
      <c r="M399">
        <v>4.7</v>
      </c>
      <c r="N399">
        <v>4.37</v>
      </c>
      <c r="O399" t="s">
        <v>34</v>
      </c>
      <c r="P399" t="s">
        <v>23</v>
      </c>
      <c r="Q399" t="s">
        <v>29</v>
      </c>
    </row>
    <row r="400" spans="1:17" x14ac:dyDescent="0.35">
      <c r="A400">
        <v>399</v>
      </c>
      <c r="B400" t="s">
        <v>25</v>
      </c>
      <c r="C400">
        <v>18</v>
      </c>
      <c r="D400" t="s">
        <v>37</v>
      </c>
      <c r="E400" t="s">
        <v>19</v>
      </c>
      <c r="F400">
        <v>28</v>
      </c>
      <c r="G400">
        <v>0.68</v>
      </c>
      <c r="H400" t="s">
        <v>40</v>
      </c>
      <c r="I400">
        <v>49346</v>
      </c>
      <c r="J400" t="s">
        <v>28</v>
      </c>
      <c r="K400" t="s">
        <v>21</v>
      </c>
      <c r="L400">
        <v>4.8099999999999996</v>
      </c>
      <c r="M400">
        <v>4.0199999999999996</v>
      </c>
      <c r="N400">
        <v>4.83</v>
      </c>
      <c r="O400" t="s">
        <v>22</v>
      </c>
      <c r="P400" t="s">
        <v>32</v>
      </c>
      <c r="Q400" t="s">
        <v>24</v>
      </c>
    </row>
    <row r="401" spans="1:17" x14ac:dyDescent="0.35">
      <c r="A401">
        <v>400</v>
      </c>
      <c r="B401" t="s">
        <v>17</v>
      </c>
      <c r="C401">
        <v>15</v>
      </c>
      <c r="D401" t="s">
        <v>26</v>
      </c>
      <c r="E401" t="s">
        <v>19</v>
      </c>
      <c r="F401">
        <v>5</v>
      </c>
      <c r="G401">
        <v>0.72</v>
      </c>
      <c r="H401" t="s">
        <v>27</v>
      </c>
      <c r="I401">
        <v>14875</v>
      </c>
      <c r="J401" t="s">
        <v>21</v>
      </c>
      <c r="K401" t="s">
        <v>21</v>
      </c>
      <c r="L401">
        <v>4.43</v>
      </c>
      <c r="M401">
        <v>4.54</v>
      </c>
      <c r="N401">
        <v>4.22</v>
      </c>
      <c r="O401" t="s">
        <v>34</v>
      </c>
      <c r="P401" t="s">
        <v>23</v>
      </c>
      <c r="Q401" t="s">
        <v>29</v>
      </c>
    </row>
    <row r="402" spans="1:17" x14ac:dyDescent="0.35">
      <c r="A402">
        <v>401</v>
      </c>
      <c r="B402" t="s">
        <v>25</v>
      </c>
      <c r="C402">
        <v>17</v>
      </c>
      <c r="D402" t="s">
        <v>39</v>
      </c>
      <c r="E402" t="s">
        <v>19</v>
      </c>
      <c r="F402">
        <v>12</v>
      </c>
      <c r="G402">
        <v>0.65</v>
      </c>
      <c r="H402" t="s">
        <v>20</v>
      </c>
      <c r="I402">
        <v>22254</v>
      </c>
      <c r="J402" t="s">
        <v>28</v>
      </c>
      <c r="K402" t="s">
        <v>21</v>
      </c>
      <c r="L402">
        <v>4.6399999999999997</v>
      </c>
      <c r="M402">
        <v>3.74</v>
      </c>
      <c r="N402">
        <v>4.12</v>
      </c>
      <c r="O402" t="s">
        <v>34</v>
      </c>
      <c r="P402" t="s">
        <v>23</v>
      </c>
      <c r="Q402" t="s">
        <v>29</v>
      </c>
    </row>
    <row r="403" spans="1:17" x14ac:dyDescent="0.35">
      <c r="A403">
        <v>402</v>
      </c>
      <c r="B403" t="s">
        <v>25</v>
      </c>
      <c r="C403">
        <v>17</v>
      </c>
      <c r="D403" t="s">
        <v>26</v>
      </c>
      <c r="E403" t="s">
        <v>19</v>
      </c>
      <c r="F403">
        <v>17</v>
      </c>
      <c r="G403">
        <v>0.65</v>
      </c>
      <c r="H403" t="s">
        <v>31</v>
      </c>
      <c r="I403">
        <v>38621</v>
      </c>
      <c r="J403" t="s">
        <v>21</v>
      </c>
      <c r="K403" t="s">
        <v>21</v>
      </c>
      <c r="L403">
        <v>4.33</v>
      </c>
      <c r="M403">
        <v>4.84</v>
      </c>
      <c r="N403">
        <v>4.92</v>
      </c>
      <c r="O403" t="s">
        <v>22</v>
      </c>
      <c r="P403" t="s">
        <v>32</v>
      </c>
      <c r="Q403" t="s">
        <v>24</v>
      </c>
    </row>
    <row r="404" spans="1:17" x14ac:dyDescent="0.35">
      <c r="A404">
        <v>403</v>
      </c>
      <c r="B404" t="s">
        <v>17</v>
      </c>
      <c r="C404">
        <v>15</v>
      </c>
      <c r="D404" t="s">
        <v>18</v>
      </c>
      <c r="E404" t="s">
        <v>19</v>
      </c>
      <c r="F404">
        <v>27</v>
      </c>
      <c r="G404">
        <v>0.79</v>
      </c>
      <c r="H404" t="s">
        <v>27</v>
      </c>
      <c r="I404">
        <v>20905</v>
      </c>
      <c r="J404" t="s">
        <v>28</v>
      </c>
      <c r="K404" t="s">
        <v>28</v>
      </c>
      <c r="L404">
        <v>3.25</v>
      </c>
      <c r="M404">
        <v>4.1100000000000003</v>
      </c>
      <c r="N404">
        <v>4.25</v>
      </c>
      <c r="O404" t="s">
        <v>34</v>
      </c>
      <c r="P404" t="s">
        <v>32</v>
      </c>
      <c r="Q404" t="s">
        <v>24</v>
      </c>
    </row>
    <row r="405" spans="1:17" x14ac:dyDescent="0.35">
      <c r="A405">
        <v>404</v>
      </c>
      <c r="B405" t="s">
        <v>17</v>
      </c>
      <c r="C405">
        <v>16</v>
      </c>
      <c r="D405" t="s">
        <v>39</v>
      </c>
      <c r="E405" t="s">
        <v>19</v>
      </c>
      <c r="F405">
        <v>19</v>
      </c>
      <c r="G405">
        <v>0.62</v>
      </c>
      <c r="H405" t="s">
        <v>20</v>
      </c>
      <c r="I405">
        <v>56121</v>
      </c>
      <c r="J405" t="s">
        <v>28</v>
      </c>
      <c r="K405" t="s">
        <v>21</v>
      </c>
      <c r="L405">
        <v>4.53</v>
      </c>
      <c r="M405">
        <v>4.18</v>
      </c>
      <c r="N405">
        <v>3.52</v>
      </c>
      <c r="O405" t="s">
        <v>34</v>
      </c>
      <c r="P405" t="s">
        <v>32</v>
      </c>
      <c r="Q405" t="s">
        <v>29</v>
      </c>
    </row>
    <row r="406" spans="1:17" x14ac:dyDescent="0.35">
      <c r="A406">
        <v>405</v>
      </c>
      <c r="B406" t="s">
        <v>25</v>
      </c>
      <c r="C406">
        <v>16</v>
      </c>
      <c r="D406" t="s">
        <v>37</v>
      </c>
      <c r="E406" t="s">
        <v>35</v>
      </c>
      <c r="F406">
        <v>12</v>
      </c>
      <c r="G406">
        <v>0.76</v>
      </c>
      <c r="H406" t="s">
        <v>31</v>
      </c>
      <c r="I406">
        <v>25882</v>
      </c>
      <c r="J406" t="s">
        <v>21</v>
      </c>
      <c r="K406" t="s">
        <v>28</v>
      </c>
      <c r="L406">
        <v>3.42</v>
      </c>
      <c r="M406">
        <v>4.5599999999999996</v>
      </c>
      <c r="N406">
        <v>3.58</v>
      </c>
      <c r="O406" t="s">
        <v>34</v>
      </c>
      <c r="P406" t="s">
        <v>23</v>
      </c>
      <c r="Q406" t="s">
        <v>24</v>
      </c>
    </row>
    <row r="407" spans="1:17" x14ac:dyDescent="0.35">
      <c r="A407">
        <v>406</v>
      </c>
      <c r="B407" t="s">
        <v>25</v>
      </c>
      <c r="C407">
        <v>18</v>
      </c>
      <c r="D407" t="s">
        <v>41</v>
      </c>
      <c r="E407" t="s">
        <v>35</v>
      </c>
      <c r="F407">
        <v>16</v>
      </c>
      <c r="G407">
        <v>0.71</v>
      </c>
      <c r="H407" t="s">
        <v>20</v>
      </c>
      <c r="I407">
        <v>29041</v>
      </c>
      <c r="J407" t="s">
        <v>21</v>
      </c>
      <c r="K407" t="s">
        <v>21</v>
      </c>
      <c r="L407">
        <v>3.65</v>
      </c>
      <c r="M407">
        <v>4.7300000000000004</v>
      </c>
      <c r="N407">
        <v>4.41</v>
      </c>
      <c r="O407" t="s">
        <v>34</v>
      </c>
      <c r="P407" t="s">
        <v>32</v>
      </c>
      <c r="Q407" t="s">
        <v>24</v>
      </c>
    </row>
    <row r="408" spans="1:17" x14ac:dyDescent="0.35">
      <c r="A408">
        <v>407</v>
      </c>
      <c r="B408" t="s">
        <v>25</v>
      </c>
      <c r="C408">
        <v>16</v>
      </c>
      <c r="D408" t="s">
        <v>30</v>
      </c>
      <c r="E408" t="s">
        <v>19</v>
      </c>
      <c r="F408">
        <v>26</v>
      </c>
      <c r="G408">
        <v>0.6</v>
      </c>
      <c r="H408" t="s">
        <v>31</v>
      </c>
      <c r="I408">
        <v>39098</v>
      </c>
      <c r="J408" t="s">
        <v>21</v>
      </c>
      <c r="K408" t="s">
        <v>28</v>
      </c>
      <c r="L408">
        <v>4.6399999999999997</v>
      </c>
      <c r="M408">
        <v>3.85</v>
      </c>
      <c r="N408">
        <v>4.47</v>
      </c>
      <c r="O408" t="s">
        <v>34</v>
      </c>
      <c r="P408" t="s">
        <v>32</v>
      </c>
      <c r="Q408" t="s">
        <v>29</v>
      </c>
    </row>
    <row r="409" spans="1:17" x14ac:dyDescent="0.35">
      <c r="A409">
        <v>408</v>
      </c>
      <c r="B409" t="s">
        <v>25</v>
      </c>
      <c r="C409">
        <v>15</v>
      </c>
      <c r="D409" t="s">
        <v>18</v>
      </c>
      <c r="E409" t="s">
        <v>19</v>
      </c>
      <c r="F409">
        <v>16</v>
      </c>
      <c r="G409">
        <v>0.76</v>
      </c>
      <c r="H409" t="s">
        <v>27</v>
      </c>
      <c r="I409">
        <v>52431</v>
      </c>
      <c r="J409" t="s">
        <v>28</v>
      </c>
      <c r="K409" t="s">
        <v>21</v>
      </c>
      <c r="L409">
        <v>4.07</v>
      </c>
      <c r="M409">
        <v>4.49</v>
      </c>
      <c r="N409">
        <v>3.61</v>
      </c>
      <c r="O409" t="s">
        <v>34</v>
      </c>
      <c r="P409" t="s">
        <v>32</v>
      </c>
      <c r="Q409" t="s">
        <v>29</v>
      </c>
    </row>
    <row r="410" spans="1:17" x14ac:dyDescent="0.35">
      <c r="A410">
        <v>409</v>
      </c>
      <c r="B410" t="s">
        <v>25</v>
      </c>
      <c r="C410">
        <v>17</v>
      </c>
      <c r="D410" t="s">
        <v>18</v>
      </c>
      <c r="E410" t="s">
        <v>19</v>
      </c>
      <c r="F410">
        <v>18</v>
      </c>
      <c r="G410">
        <v>0.62</v>
      </c>
      <c r="H410" t="s">
        <v>20</v>
      </c>
      <c r="I410">
        <v>43709</v>
      </c>
      <c r="J410" t="s">
        <v>28</v>
      </c>
      <c r="K410" t="s">
        <v>28</v>
      </c>
      <c r="L410">
        <v>4.72</v>
      </c>
      <c r="M410">
        <v>4.09</v>
      </c>
      <c r="N410">
        <v>3.69</v>
      </c>
      <c r="O410" t="s">
        <v>34</v>
      </c>
      <c r="P410" t="s">
        <v>32</v>
      </c>
      <c r="Q410" t="s">
        <v>29</v>
      </c>
    </row>
    <row r="411" spans="1:17" x14ac:dyDescent="0.35">
      <c r="A411">
        <v>410</v>
      </c>
      <c r="B411" t="s">
        <v>25</v>
      </c>
      <c r="C411">
        <v>16</v>
      </c>
      <c r="D411" t="s">
        <v>33</v>
      </c>
      <c r="E411" t="s">
        <v>35</v>
      </c>
      <c r="F411">
        <v>19</v>
      </c>
      <c r="G411">
        <v>0.85</v>
      </c>
      <c r="H411" t="s">
        <v>40</v>
      </c>
      <c r="I411">
        <v>44675</v>
      </c>
      <c r="J411" t="s">
        <v>28</v>
      </c>
      <c r="K411" t="s">
        <v>28</v>
      </c>
      <c r="L411">
        <v>3.43</v>
      </c>
      <c r="M411">
        <v>4.05</v>
      </c>
      <c r="N411">
        <v>4.9800000000000004</v>
      </c>
      <c r="O411" t="s">
        <v>22</v>
      </c>
      <c r="P411" t="s">
        <v>32</v>
      </c>
      <c r="Q411" t="s">
        <v>24</v>
      </c>
    </row>
    <row r="412" spans="1:17" x14ac:dyDescent="0.35">
      <c r="A412">
        <v>411</v>
      </c>
      <c r="B412" t="s">
        <v>17</v>
      </c>
      <c r="C412">
        <v>18</v>
      </c>
      <c r="D412" t="s">
        <v>37</v>
      </c>
      <c r="E412" t="s">
        <v>19</v>
      </c>
      <c r="F412">
        <v>19</v>
      </c>
      <c r="G412">
        <v>0.74</v>
      </c>
      <c r="H412" t="s">
        <v>20</v>
      </c>
      <c r="I412">
        <v>14837</v>
      </c>
      <c r="J412" t="s">
        <v>21</v>
      </c>
      <c r="K412" t="s">
        <v>21</v>
      </c>
      <c r="L412">
        <v>4.22</v>
      </c>
      <c r="M412">
        <v>4.54</v>
      </c>
      <c r="N412">
        <v>3.2</v>
      </c>
      <c r="O412" t="s">
        <v>36</v>
      </c>
      <c r="P412" t="s">
        <v>32</v>
      </c>
      <c r="Q412" t="s">
        <v>29</v>
      </c>
    </row>
    <row r="413" spans="1:17" x14ac:dyDescent="0.35">
      <c r="A413">
        <v>412</v>
      </c>
      <c r="B413" t="s">
        <v>25</v>
      </c>
      <c r="C413">
        <v>16</v>
      </c>
      <c r="D413" t="s">
        <v>37</v>
      </c>
      <c r="E413" t="s">
        <v>35</v>
      </c>
      <c r="F413">
        <v>13</v>
      </c>
      <c r="G413">
        <v>0.95</v>
      </c>
      <c r="H413" t="s">
        <v>31</v>
      </c>
      <c r="I413">
        <v>56448</v>
      </c>
      <c r="J413" t="s">
        <v>28</v>
      </c>
      <c r="K413" t="s">
        <v>21</v>
      </c>
      <c r="L413">
        <v>3.17</v>
      </c>
      <c r="M413">
        <v>4.08</v>
      </c>
      <c r="N413">
        <v>3.81</v>
      </c>
      <c r="O413" t="s">
        <v>34</v>
      </c>
      <c r="P413" t="s">
        <v>23</v>
      </c>
      <c r="Q413" t="s">
        <v>24</v>
      </c>
    </row>
    <row r="414" spans="1:17" x14ac:dyDescent="0.35">
      <c r="A414">
        <v>413</v>
      </c>
      <c r="B414" t="s">
        <v>25</v>
      </c>
      <c r="C414">
        <v>15</v>
      </c>
      <c r="D414" t="s">
        <v>42</v>
      </c>
      <c r="E414" t="s">
        <v>19</v>
      </c>
      <c r="F414">
        <v>23</v>
      </c>
      <c r="G414">
        <v>0.91</v>
      </c>
      <c r="H414" t="s">
        <v>27</v>
      </c>
      <c r="I414">
        <v>34489</v>
      </c>
      <c r="J414" t="s">
        <v>21</v>
      </c>
      <c r="K414" t="s">
        <v>21</v>
      </c>
      <c r="L414">
        <v>4.29</v>
      </c>
      <c r="M414">
        <v>4.0199999999999996</v>
      </c>
      <c r="N414">
        <v>3.12</v>
      </c>
      <c r="O414" t="s">
        <v>36</v>
      </c>
      <c r="P414" t="s">
        <v>32</v>
      </c>
      <c r="Q414" t="s">
        <v>29</v>
      </c>
    </row>
    <row r="415" spans="1:17" x14ac:dyDescent="0.35">
      <c r="A415">
        <v>414</v>
      </c>
      <c r="B415" t="s">
        <v>17</v>
      </c>
      <c r="C415">
        <v>18</v>
      </c>
      <c r="D415" t="s">
        <v>18</v>
      </c>
      <c r="E415" t="s">
        <v>19</v>
      </c>
      <c r="F415">
        <v>24</v>
      </c>
      <c r="G415">
        <v>0.91</v>
      </c>
      <c r="H415" t="s">
        <v>31</v>
      </c>
      <c r="I415">
        <v>27627</v>
      </c>
      <c r="J415" t="s">
        <v>21</v>
      </c>
      <c r="K415" t="s">
        <v>28</v>
      </c>
      <c r="L415">
        <v>4.53</v>
      </c>
      <c r="M415">
        <v>4.75</v>
      </c>
      <c r="N415">
        <v>4.6399999999999997</v>
      </c>
      <c r="O415" t="s">
        <v>22</v>
      </c>
      <c r="P415" t="s">
        <v>32</v>
      </c>
      <c r="Q415" t="s">
        <v>24</v>
      </c>
    </row>
    <row r="416" spans="1:17" x14ac:dyDescent="0.35">
      <c r="A416">
        <v>415</v>
      </c>
      <c r="B416" t="s">
        <v>17</v>
      </c>
      <c r="C416">
        <v>16</v>
      </c>
      <c r="D416" t="s">
        <v>42</v>
      </c>
      <c r="E416" t="s">
        <v>35</v>
      </c>
      <c r="F416">
        <v>26</v>
      </c>
      <c r="G416">
        <v>0.63</v>
      </c>
      <c r="H416" t="s">
        <v>20</v>
      </c>
      <c r="I416">
        <v>15696</v>
      </c>
      <c r="J416" t="s">
        <v>21</v>
      </c>
      <c r="K416" t="s">
        <v>28</v>
      </c>
      <c r="L416">
        <v>4.17</v>
      </c>
      <c r="M416">
        <v>3.65</v>
      </c>
      <c r="N416">
        <v>3.18</v>
      </c>
      <c r="O416" t="s">
        <v>36</v>
      </c>
      <c r="P416" t="s">
        <v>32</v>
      </c>
      <c r="Q416" t="s">
        <v>29</v>
      </c>
    </row>
    <row r="417" spans="1:17" x14ac:dyDescent="0.35">
      <c r="A417">
        <v>416</v>
      </c>
      <c r="B417" t="s">
        <v>17</v>
      </c>
      <c r="C417">
        <v>18</v>
      </c>
      <c r="D417" t="s">
        <v>42</v>
      </c>
      <c r="E417" t="s">
        <v>35</v>
      </c>
      <c r="F417">
        <v>12</v>
      </c>
      <c r="G417">
        <v>0.77</v>
      </c>
      <c r="H417" t="s">
        <v>20</v>
      </c>
      <c r="I417">
        <v>58994</v>
      </c>
      <c r="J417" t="s">
        <v>28</v>
      </c>
      <c r="K417" t="s">
        <v>21</v>
      </c>
      <c r="L417">
        <v>3.53</v>
      </c>
      <c r="M417">
        <v>4.51</v>
      </c>
      <c r="N417">
        <v>4.3499999999999996</v>
      </c>
      <c r="O417" t="s">
        <v>34</v>
      </c>
      <c r="P417" t="s">
        <v>23</v>
      </c>
      <c r="Q417" t="s">
        <v>24</v>
      </c>
    </row>
    <row r="418" spans="1:17" x14ac:dyDescent="0.35">
      <c r="A418">
        <v>417</v>
      </c>
      <c r="B418" t="s">
        <v>17</v>
      </c>
      <c r="C418">
        <v>15</v>
      </c>
      <c r="D418" t="s">
        <v>30</v>
      </c>
      <c r="E418" t="s">
        <v>19</v>
      </c>
      <c r="F418">
        <v>25</v>
      </c>
      <c r="G418">
        <v>0.78</v>
      </c>
      <c r="H418" t="s">
        <v>40</v>
      </c>
      <c r="I418">
        <v>23543</v>
      </c>
      <c r="J418" t="s">
        <v>28</v>
      </c>
      <c r="K418" t="s">
        <v>21</v>
      </c>
      <c r="L418">
        <v>3.06</v>
      </c>
      <c r="M418">
        <v>3.87</v>
      </c>
      <c r="N418">
        <v>3.11</v>
      </c>
      <c r="O418" t="s">
        <v>36</v>
      </c>
      <c r="P418" t="s">
        <v>32</v>
      </c>
      <c r="Q418" t="s">
        <v>24</v>
      </c>
    </row>
    <row r="419" spans="1:17" x14ac:dyDescent="0.35">
      <c r="A419">
        <v>418</v>
      </c>
      <c r="B419" t="s">
        <v>25</v>
      </c>
      <c r="C419">
        <v>17</v>
      </c>
      <c r="D419" t="s">
        <v>42</v>
      </c>
      <c r="E419" t="s">
        <v>19</v>
      </c>
      <c r="F419">
        <v>23</v>
      </c>
      <c r="G419">
        <v>0.94</v>
      </c>
      <c r="H419" t="s">
        <v>27</v>
      </c>
      <c r="I419">
        <v>22615</v>
      </c>
      <c r="J419" t="s">
        <v>21</v>
      </c>
      <c r="K419" t="s">
        <v>28</v>
      </c>
      <c r="L419">
        <v>3.24</v>
      </c>
      <c r="M419">
        <v>3.52</v>
      </c>
      <c r="N419">
        <v>4.3499999999999996</v>
      </c>
      <c r="O419" t="s">
        <v>34</v>
      </c>
      <c r="P419" t="s">
        <v>32</v>
      </c>
      <c r="Q419" t="s">
        <v>24</v>
      </c>
    </row>
    <row r="420" spans="1:17" x14ac:dyDescent="0.35">
      <c r="A420">
        <v>419</v>
      </c>
      <c r="B420" t="s">
        <v>25</v>
      </c>
      <c r="C420">
        <v>15</v>
      </c>
      <c r="D420" t="s">
        <v>39</v>
      </c>
      <c r="E420" t="s">
        <v>19</v>
      </c>
      <c r="F420">
        <v>10</v>
      </c>
      <c r="G420">
        <v>0.99</v>
      </c>
      <c r="H420" t="s">
        <v>27</v>
      </c>
      <c r="I420">
        <v>11466</v>
      </c>
      <c r="J420" t="s">
        <v>28</v>
      </c>
      <c r="K420" t="s">
        <v>28</v>
      </c>
      <c r="L420">
        <v>4.24</v>
      </c>
      <c r="M420">
        <v>3.75</v>
      </c>
      <c r="N420">
        <v>4.6900000000000004</v>
      </c>
      <c r="O420" t="s">
        <v>22</v>
      </c>
      <c r="P420" t="s">
        <v>23</v>
      </c>
      <c r="Q420" t="s">
        <v>24</v>
      </c>
    </row>
    <row r="421" spans="1:17" x14ac:dyDescent="0.35">
      <c r="A421">
        <v>420</v>
      </c>
      <c r="B421" t="s">
        <v>25</v>
      </c>
      <c r="C421">
        <v>15</v>
      </c>
      <c r="D421" t="s">
        <v>26</v>
      </c>
      <c r="E421" t="s">
        <v>35</v>
      </c>
      <c r="F421">
        <v>24</v>
      </c>
      <c r="G421">
        <v>0.73</v>
      </c>
      <c r="H421" t="s">
        <v>20</v>
      </c>
      <c r="I421">
        <v>40771</v>
      </c>
      <c r="J421" t="s">
        <v>21</v>
      </c>
      <c r="K421" t="s">
        <v>21</v>
      </c>
      <c r="L421">
        <v>4.87</v>
      </c>
      <c r="M421">
        <v>4.41</v>
      </c>
      <c r="N421">
        <v>3.8</v>
      </c>
      <c r="O421" t="s">
        <v>34</v>
      </c>
      <c r="P421" t="s">
        <v>32</v>
      </c>
      <c r="Q421" t="s">
        <v>29</v>
      </c>
    </row>
    <row r="422" spans="1:17" x14ac:dyDescent="0.35">
      <c r="A422">
        <v>421</v>
      </c>
      <c r="B422" t="s">
        <v>25</v>
      </c>
      <c r="C422">
        <v>15</v>
      </c>
      <c r="D422" t="s">
        <v>41</v>
      </c>
      <c r="E422" t="s">
        <v>35</v>
      </c>
      <c r="F422">
        <v>29</v>
      </c>
      <c r="G422">
        <v>0.92</v>
      </c>
      <c r="H422" t="s">
        <v>27</v>
      </c>
      <c r="I422">
        <v>28350</v>
      </c>
      <c r="J422" t="s">
        <v>21</v>
      </c>
      <c r="K422" t="s">
        <v>28</v>
      </c>
      <c r="L422">
        <v>3.41</v>
      </c>
      <c r="M422">
        <v>4.5599999999999996</v>
      </c>
      <c r="N422">
        <v>4.04</v>
      </c>
      <c r="O422" t="s">
        <v>34</v>
      </c>
      <c r="P422" t="s">
        <v>32</v>
      </c>
      <c r="Q422" t="s">
        <v>24</v>
      </c>
    </row>
    <row r="423" spans="1:17" x14ac:dyDescent="0.35">
      <c r="A423">
        <v>422</v>
      </c>
      <c r="B423" t="s">
        <v>25</v>
      </c>
      <c r="C423">
        <v>15</v>
      </c>
      <c r="D423" t="s">
        <v>37</v>
      </c>
      <c r="E423" t="s">
        <v>35</v>
      </c>
      <c r="F423">
        <v>23</v>
      </c>
      <c r="G423">
        <v>0.73</v>
      </c>
      <c r="H423" t="s">
        <v>40</v>
      </c>
      <c r="I423">
        <v>10375</v>
      </c>
      <c r="J423" t="s">
        <v>28</v>
      </c>
      <c r="K423" t="s">
        <v>21</v>
      </c>
      <c r="L423">
        <v>4.47</v>
      </c>
      <c r="M423">
        <v>3.53</v>
      </c>
      <c r="N423">
        <v>3.8</v>
      </c>
      <c r="O423" t="s">
        <v>34</v>
      </c>
      <c r="P423" t="s">
        <v>32</v>
      </c>
      <c r="Q423" t="s">
        <v>29</v>
      </c>
    </row>
    <row r="424" spans="1:17" x14ac:dyDescent="0.35">
      <c r="A424">
        <v>423</v>
      </c>
      <c r="B424" t="s">
        <v>25</v>
      </c>
      <c r="C424">
        <v>17</v>
      </c>
      <c r="D424" t="s">
        <v>39</v>
      </c>
      <c r="E424" t="s">
        <v>35</v>
      </c>
      <c r="F424">
        <v>8</v>
      </c>
      <c r="G424">
        <v>0.93</v>
      </c>
      <c r="H424" t="s">
        <v>31</v>
      </c>
      <c r="I424">
        <v>43030</v>
      </c>
      <c r="J424" t="s">
        <v>21</v>
      </c>
      <c r="K424" t="s">
        <v>21</v>
      </c>
      <c r="L424">
        <v>4.7300000000000004</v>
      </c>
      <c r="M424">
        <v>3.55</v>
      </c>
      <c r="N424">
        <v>3.6</v>
      </c>
      <c r="O424" t="s">
        <v>34</v>
      </c>
      <c r="P424" t="s">
        <v>23</v>
      </c>
      <c r="Q424" t="s">
        <v>29</v>
      </c>
    </row>
    <row r="425" spans="1:17" x14ac:dyDescent="0.35">
      <c r="A425">
        <v>424</v>
      </c>
      <c r="B425" t="s">
        <v>17</v>
      </c>
      <c r="C425">
        <v>17</v>
      </c>
      <c r="D425" t="s">
        <v>41</v>
      </c>
      <c r="E425" t="s">
        <v>35</v>
      </c>
      <c r="F425">
        <v>27</v>
      </c>
      <c r="G425">
        <v>0.63</v>
      </c>
      <c r="H425" t="s">
        <v>27</v>
      </c>
      <c r="I425">
        <v>30746</v>
      </c>
      <c r="J425" t="s">
        <v>21</v>
      </c>
      <c r="K425" t="s">
        <v>21</v>
      </c>
      <c r="L425">
        <v>4.04</v>
      </c>
      <c r="M425">
        <v>4.8499999999999996</v>
      </c>
      <c r="N425">
        <v>4.6100000000000003</v>
      </c>
      <c r="O425" t="s">
        <v>22</v>
      </c>
      <c r="P425" t="s">
        <v>32</v>
      </c>
      <c r="Q425" t="s">
        <v>24</v>
      </c>
    </row>
    <row r="426" spans="1:17" x14ac:dyDescent="0.35">
      <c r="A426">
        <v>425</v>
      </c>
      <c r="B426" t="s">
        <v>25</v>
      </c>
      <c r="C426">
        <v>18</v>
      </c>
      <c r="D426" t="s">
        <v>18</v>
      </c>
      <c r="E426" t="s">
        <v>35</v>
      </c>
      <c r="F426">
        <v>11</v>
      </c>
      <c r="G426">
        <v>0.83</v>
      </c>
      <c r="H426" t="s">
        <v>20</v>
      </c>
      <c r="I426">
        <v>32886</v>
      </c>
      <c r="J426" t="s">
        <v>28</v>
      </c>
      <c r="K426" t="s">
        <v>28</v>
      </c>
      <c r="L426">
        <v>4.34</v>
      </c>
      <c r="M426">
        <v>3.61</v>
      </c>
      <c r="N426">
        <v>3.54</v>
      </c>
      <c r="O426" t="s">
        <v>34</v>
      </c>
      <c r="P426" t="s">
        <v>23</v>
      </c>
      <c r="Q426" t="s">
        <v>29</v>
      </c>
    </row>
    <row r="427" spans="1:17" x14ac:dyDescent="0.35">
      <c r="A427">
        <v>426</v>
      </c>
      <c r="B427" t="s">
        <v>17</v>
      </c>
      <c r="C427">
        <v>16</v>
      </c>
      <c r="D427" t="s">
        <v>18</v>
      </c>
      <c r="E427" t="s">
        <v>19</v>
      </c>
      <c r="F427">
        <v>8</v>
      </c>
      <c r="G427">
        <v>0.88</v>
      </c>
      <c r="H427" t="s">
        <v>31</v>
      </c>
      <c r="I427">
        <v>54348</v>
      </c>
      <c r="J427" t="s">
        <v>21</v>
      </c>
      <c r="K427" t="s">
        <v>28</v>
      </c>
      <c r="L427">
        <v>4.63</v>
      </c>
      <c r="M427">
        <v>4.84</v>
      </c>
      <c r="N427">
        <v>4.45</v>
      </c>
      <c r="O427" t="s">
        <v>34</v>
      </c>
      <c r="P427" t="s">
        <v>23</v>
      </c>
      <c r="Q427" t="s">
        <v>29</v>
      </c>
    </row>
    <row r="428" spans="1:17" x14ac:dyDescent="0.35">
      <c r="A428">
        <v>427</v>
      </c>
      <c r="B428" t="s">
        <v>17</v>
      </c>
      <c r="C428">
        <v>17</v>
      </c>
      <c r="D428" t="s">
        <v>18</v>
      </c>
      <c r="E428" t="s">
        <v>19</v>
      </c>
      <c r="F428">
        <v>26</v>
      </c>
      <c r="G428">
        <v>0.78</v>
      </c>
      <c r="H428" t="s">
        <v>31</v>
      </c>
      <c r="I428">
        <v>52904</v>
      </c>
      <c r="J428" t="s">
        <v>21</v>
      </c>
      <c r="K428" t="s">
        <v>28</v>
      </c>
      <c r="L428">
        <v>3.52</v>
      </c>
      <c r="M428">
        <v>3.84</v>
      </c>
      <c r="N428">
        <v>3.41</v>
      </c>
      <c r="O428" t="s">
        <v>36</v>
      </c>
      <c r="P428" t="s">
        <v>32</v>
      </c>
      <c r="Q428" t="s">
        <v>29</v>
      </c>
    </row>
    <row r="429" spans="1:17" x14ac:dyDescent="0.35">
      <c r="A429">
        <v>428</v>
      </c>
      <c r="B429" t="s">
        <v>25</v>
      </c>
      <c r="C429">
        <v>17</v>
      </c>
      <c r="D429" t="s">
        <v>39</v>
      </c>
      <c r="E429" t="s">
        <v>35</v>
      </c>
      <c r="F429">
        <v>16</v>
      </c>
      <c r="G429">
        <v>0.65</v>
      </c>
      <c r="H429" t="s">
        <v>40</v>
      </c>
      <c r="I429">
        <v>42651</v>
      </c>
      <c r="J429" t="s">
        <v>21</v>
      </c>
      <c r="K429" t="s">
        <v>28</v>
      </c>
      <c r="L429">
        <v>3.59</v>
      </c>
      <c r="M429">
        <v>4.6100000000000003</v>
      </c>
      <c r="N429">
        <v>3.5</v>
      </c>
      <c r="O429" t="s">
        <v>34</v>
      </c>
      <c r="P429" t="s">
        <v>32</v>
      </c>
      <c r="Q429" t="s">
        <v>29</v>
      </c>
    </row>
    <row r="430" spans="1:17" x14ac:dyDescent="0.35">
      <c r="A430">
        <v>429</v>
      </c>
      <c r="B430" t="s">
        <v>17</v>
      </c>
      <c r="C430">
        <v>16</v>
      </c>
      <c r="D430" t="s">
        <v>39</v>
      </c>
      <c r="E430" t="s">
        <v>19</v>
      </c>
      <c r="F430">
        <v>17</v>
      </c>
      <c r="G430">
        <v>0.92</v>
      </c>
      <c r="H430" t="s">
        <v>20</v>
      </c>
      <c r="I430">
        <v>17833</v>
      </c>
      <c r="J430" t="s">
        <v>21</v>
      </c>
      <c r="K430" t="s">
        <v>21</v>
      </c>
      <c r="L430">
        <v>3</v>
      </c>
      <c r="M430">
        <v>3.96</v>
      </c>
      <c r="N430">
        <v>3.67</v>
      </c>
      <c r="O430" t="s">
        <v>34</v>
      </c>
      <c r="P430" t="s">
        <v>32</v>
      </c>
      <c r="Q430" t="s">
        <v>24</v>
      </c>
    </row>
    <row r="431" spans="1:17" x14ac:dyDescent="0.35">
      <c r="A431">
        <v>430</v>
      </c>
      <c r="B431" t="s">
        <v>25</v>
      </c>
      <c r="C431">
        <v>17</v>
      </c>
      <c r="D431" t="s">
        <v>37</v>
      </c>
      <c r="E431" t="s">
        <v>19</v>
      </c>
      <c r="F431">
        <v>7</v>
      </c>
      <c r="G431">
        <v>0.99</v>
      </c>
      <c r="H431" t="s">
        <v>27</v>
      </c>
      <c r="I431">
        <v>11893</v>
      </c>
      <c r="J431" t="s">
        <v>21</v>
      </c>
      <c r="K431" t="s">
        <v>28</v>
      </c>
      <c r="L431">
        <v>4.93</v>
      </c>
      <c r="M431">
        <v>4.79</v>
      </c>
      <c r="N431">
        <v>4.18</v>
      </c>
      <c r="O431" t="s">
        <v>34</v>
      </c>
      <c r="P431" t="s">
        <v>23</v>
      </c>
      <c r="Q431" t="s">
        <v>29</v>
      </c>
    </row>
    <row r="432" spans="1:17" x14ac:dyDescent="0.35">
      <c r="A432">
        <v>431</v>
      </c>
      <c r="B432" t="s">
        <v>17</v>
      </c>
      <c r="C432">
        <v>15</v>
      </c>
      <c r="D432" t="s">
        <v>26</v>
      </c>
      <c r="E432" t="s">
        <v>35</v>
      </c>
      <c r="F432">
        <v>26</v>
      </c>
      <c r="G432">
        <v>0.78</v>
      </c>
      <c r="H432" t="s">
        <v>20</v>
      </c>
      <c r="I432">
        <v>40573</v>
      </c>
      <c r="J432" t="s">
        <v>21</v>
      </c>
      <c r="K432" t="s">
        <v>21</v>
      </c>
      <c r="L432">
        <v>4.84</v>
      </c>
      <c r="M432">
        <v>4.55</v>
      </c>
      <c r="N432">
        <v>3.91</v>
      </c>
      <c r="O432" t="s">
        <v>34</v>
      </c>
      <c r="P432" t="s">
        <v>32</v>
      </c>
      <c r="Q432" t="s">
        <v>29</v>
      </c>
    </row>
    <row r="433" spans="1:17" x14ac:dyDescent="0.35">
      <c r="A433">
        <v>432</v>
      </c>
      <c r="B433" t="s">
        <v>25</v>
      </c>
      <c r="C433">
        <v>15</v>
      </c>
      <c r="D433" t="s">
        <v>33</v>
      </c>
      <c r="E433" t="s">
        <v>19</v>
      </c>
      <c r="F433">
        <v>16</v>
      </c>
      <c r="G433">
        <v>0.6</v>
      </c>
      <c r="H433" t="s">
        <v>31</v>
      </c>
      <c r="I433">
        <v>41371</v>
      </c>
      <c r="J433" t="s">
        <v>21</v>
      </c>
      <c r="K433" t="s">
        <v>21</v>
      </c>
      <c r="L433">
        <v>4.53</v>
      </c>
      <c r="M433">
        <v>4.0999999999999996</v>
      </c>
      <c r="N433">
        <v>4.49</v>
      </c>
      <c r="O433" t="s">
        <v>34</v>
      </c>
      <c r="P433" t="s">
        <v>32</v>
      </c>
      <c r="Q433" t="s">
        <v>29</v>
      </c>
    </row>
    <row r="434" spans="1:17" x14ac:dyDescent="0.35">
      <c r="A434">
        <v>433</v>
      </c>
      <c r="B434" t="s">
        <v>17</v>
      </c>
      <c r="C434">
        <v>16</v>
      </c>
      <c r="D434" t="s">
        <v>42</v>
      </c>
      <c r="E434" t="s">
        <v>35</v>
      </c>
      <c r="F434">
        <v>6</v>
      </c>
      <c r="G434">
        <v>0.64</v>
      </c>
      <c r="H434" t="s">
        <v>20</v>
      </c>
      <c r="I434">
        <v>50874</v>
      </c>
      <c r="J434" t="s">
        <v>28</v>
      </c>
      <c r="K434" t="s">
        <v>21</v>
      </c>
      <c r="L434">
        <v>3.16</v>
      </c>
      <c r="M434">
        <v>3.61</v>
      </c>
      <c r="N434">
        <v>3.43</v>
      </c>
      <c r="O434" t="s">
        <v>36</v>
      </c>
      <c r="P434" t="s">
        <v>23</v>
      </c>
      <c r="Q434" t="s">
        <v>24</v>
      </c>
    </row>
    <row r="435" spans="1:17" x14ac:dyDescent="0.35">
      <c r="A435">
        <v>434</v>
      </c>
      <c r="B435" t="s">
        <v>25</v>
      </c>
      <c r="C435">
        <v>18</v>
      </c>
      <c r="D435" t="s">
        <v>18</v>
      </c>
      <c r="E435" t="s">
        <v>35</v>
      </c>
      <c r="F435">
        <v>28</v>
      </c>
      <c r="G435">
        <v>0.86</v>
      </c>
      <c r="H435" t="s">
        <v>27</v>
      </c>
      <c r="I435">
        <v>21826</v>
      </c>
      <c r="J435" t="s">
        <v>28</v>
      </c>
      <c r="K435" t="s">
        <v>28</v>
      </c>
      <c r="L435">
        <v>3.9</v>
      </c>
      <c r="M435">
        <v>4.5999999999999996</v>
      </c>
      <c r="N435">
        <v>3.02</v>
      </c>
      <c r="O435" t="s">
        <v>36</v>
      </c>
      <c r="P435" t="s">
        <v>32</v>
      </c>
      <c r="Q435" t="s">
        <v>29</v>
      </c>
    </row>
    <row r="436" spans="1:17" x14ac:dyDescent="0.35">
      <c r="A436">
        <v>435</v>
      </c>
      <c r="B436" t="s">
        <v>25</v>
      </c>
      <c r="C436">
        <v>18</v>
      </c>
      <c r="D436" t="s">
        <v>30</v>
      </c>
      <c r="E436" t="s">
        <v>19</v>
      </c>
      <c r="F436">
        <v>6</v>
      </c>
      <c r="G436">
        <v>0.75</v>
      </c>
      <c r="H436" t="s">
        <v>27</v>
      </c>
      <c r="I436">
        <v>44420</v>
      </c>
      <c r="J436" t="s">
        <v>21</v>
      </c>
      <c r="K436" t="s">
        <v>21</v>
      </c>
      <c r="L436">
        <v>3.2</v>
      </c>
      <c r="M436">
        <v>4.43</v>
      </c>
      <c r="N436">
        <v>4.55</v>
      </c>
      <c r="O436" t="s">
        <v>22</v>
      </c>
      <c r="P436" t="s">
        <v>23</v>
      </c>
      <c r="Q436" t="s">
        <v>24</v>
      </c>
    </row>
    <row r="437" spans="1:17" x14ac:dyDescent="0.35">
      <c r="A437">
        <v>436</v>
      </c>
      <c r="B437" t="s">
        <v>25</v>
      </c>
      <c r="C437">
        <v>16</v>
      </c>
      <c r="D437" t="s">
        <v>26</v>
      </c>
      <c r="E437" t="s">
        <v>35</v>
      </c>
      <c r="F437">
        <v>27</v>
      </c>
      <c r="G437">
        <v>0.65</v>
      </c>
      <c r="H437" t="s">
        <v>40</v>
      </c>
      <c r="I437">
        <v>31924</v>
      </c>
      <c r="J437" t="s">
        <v>21</v>
      </c>
      <c r="K437" t="s">
        <v>21</v>
      </c>
      <c r="L437">
        <v>3.03</v>
      </c>
      <c r="M437">
        <v>3.5</v>
      </c>
      <c r="N437">
        <v>4.6399999999999997</v>
      </c>
      <c r="O437" t="s">
        <v>22</v>
      </c>
      <c r="P437" t="s">
        <v>32</v>
      </c>
      <c r="Q437" t="s">
        <v>24</v>
      </c>
    </row>
    <row r="438" spans="1:17" x14ac:dyDescent="0.35">
      <c r="A438">
        <v>437</v>
      </c>
      <c r="B438" t="s">
        <v>25</v>
      </c>
      <c r="C438">
        <v>16</v>
      </c>
      <c r="D438" t="s">
        <v>30</v>
      </c>
      <c r="E438" t="s">
        <v>35</v>
      </c>
      <c r="F438">
        <v>13</v>
      </c>
      <c r="G438">
        <v>0.99</v>
      </c>
      <c r="H438" t="s">
        <v>27</v>
      </c>
      <c r="I438">
        <v>43367</v>
      </c>
      <c r="J438" t="s">
        <v>28</v>
      </c>
      <c r="K438" t="s">
        <v>28</v>
      </c>
      <c r="L438">
        <v>4.2300000000000004</v>
      </c>
      <c r="M438">
        <v>3.51</v>
      </c>
      <c r="N438">
        <v>3.12</v>
      </c>
      <c r="O438" t="s">
        <v>36</v>
      </c>
      <c r="P438" t="s">
        <v>23</v>
      </c>
      <c r="Q438" t="s">
        <v>29</v>
      </c>
    </row>
    <row r="439" spans="1:17" x14ac:dyDescent="0.35">
      <c r="A439">
        <v>438</v>
      </c>
      <c r="B439" t="s">
        <v>25</v>
      </c>
      <c r="C439">
        <v>15</v>
      </c>
      <c r="D439" t="s">
        <v>37</v>
      </c>
      <c r="E439" t="s">
        <v>35</v>
      </c>
      <c r="F439">
        <v>5</v>
      </c>
      <c r="G439">
        <v>0.72</v>
      </c>
      <c r="H439" t="s">
        <v>27</v>
      </c>
      <c r="I439">
        <v>31199</v>
      </c>
      <c r="J439" t="s">
        <v>28</v>
      </c>
      <c r="K439" t="s">
        <v>21</v>
      </c>
      <c r="L439">
        <v>4.92</v>
      </c>
      <c r="M439">
        <v>4.71</v>
      </c>
      <c r="N439">
        <v>4.22</v>
      </c>
      <c r="O439" t="s">
        <v>34</v>
      </c>
      <c r="P439" t="s">
        <v>23</v>
      </c>
      <c r="Q439" t="s">
        <v>29</v>
      </c>
    </row>
    <row r="440" spans="1:17" x14ac:dyDescent="0.35">
      <c r="A440">
        <v>439</v>
      </c>
      <c r="B440" t="s">
        <v>17</v>
      </c>
      <c r="C440">
        <v>18</v>
      </c>
      <c r="D440" t="s">
        <v>37</v>
      </c>
      <c r="E440" t="s">
        <v>35</v>
      </c>
      <c r="F440">
        <v>12</v>
      </c>
      <c r="G440">
        <v>0.94</v>
      </c>
      <c r="H440" t="s">
        <v>20</v>
      </c>
      <c r="I440">
        <v>35868</v>
      </c>
      <c r="J440" t="s">
        <v>28</v>
      </c>
      <c r="K440" t="s">
        <v>28</v>
      </c>
      <c r="L440">
        <v>4.8099999999999996</v>
      </c>
      <c r="M440">
        <v>3.89</v>
      </c>
      <c r="N440">
        <v>3.76</v>
      </c>
      <c r="O440" t="s">
        <v>34</v>
      </c>
      <c r="P440" t="s">
        <v>23</v>
      </c>
      <c r="Q440" t="s">
        <v>29</v>
      </c>
    </row>
    <row r="441" spans="1:17" x14ac:dyDescent="0.35">
      <c r="A441">
        <v>440</v>
      </c>
      <c r="B441" t="s">
        <v>17</v>
      </c>
      <c r="C441">
        <v>17</v>
      </c>
      <c r="D441" t="s">
        <v>37</v>
      </c>
      <c r="E441" t="s">
        <v>35</v>
      </c>
      <c r="F441">
        <v>27</v>
      </c>
      <c r="G441">
        <v>0.78</v>
      </c>
      <c r="H441" t="s">
        <v>20</v>
      </c>
      <c r="I441">
        <v>18792</v>
      </c>
      <c r="J441" t="s">
        <v>28</v>
      </c>
      <c r="K441" t="s">
        <v>28</v>
      </c>
      <c r="L441">
        <v>4.3899999999999997</v>
      </c>
      <c r="M441">
        <v>4.45</v>
      </c>
      <c r="N441">
        <v>4.59</v>
      </c>
      <c r="O441" t="s">
        <v>22</v>
      </c>
      <c r="P441" t="s">
        <v>32</v>
      </c>
      <c r="Q441" t="s">
        <v>24</v>
      </c>
    </row>
    <row r="442" spans="1:17" x14ac:dyDescent="0.35">
      <c r="A442">
        <v>441</v>
      </c>
      <c r="B442" t="s">
        <v>17</v>
      </c>
      <c r="C442">
        <v>15</v>
      </c>
      <c r="D442" t="s">
        <v>41</v>
      </c>
      <c r="E442" t="s">
        <v>35</v>
      </c>
      <c r="F442">
        <v>10</v>
      </c>
      <c r="G442">
        <v>0.71</v>
      </c>
      <c r="H442" t="s">
        <v>31</v>
      </c>
      <c r="I442">
        <v>30597</v>
      </c>
      <c r="J442" t="s">
        <v>28</v>
      </c>
      <c r="K442" t="s">
        <v>28</v>
      </c>
      <c r="L442">
        <v>3.19</v>
      </c>
      <c r="M442">
        <v>4.18</v>
      </c>
      <c r="N442">
        <v>4.75</v>
      </c>
      <c r="O442" t="s">
        <v>22</v>
      </c>
      <c r="P442" t="s">
        <v>23</v>
      </c>
      <c r="Q442" t="s">
        <v>24</v>
      </c>
    </row>
    <row r="443" spans="1:17" x14ac:dyDescent="0.35">
      <c r="A443">
        <v>442</v>
      </c>
      <c r="B443" t="s">
        <v>25</v>
      </c>
      <c r="C443">
        <v>16</v>
      </c>
      <c r="D443" t="s">
        <v>30</v>
      </c>
      <c r="E443" t="s">
        <v>35</v>
      </c>
      <c r="F443">
        <v>10</v>
      </c>
      <c r="G443">
        <v>0.75</v>
      </c>
      <c r="H443" t="s">
        <v>40</v>
      </c>
      <c r="I443">
        <v>46405</v>
      </c>
      <c r="J443" t="s">
        <v>21</v>
      </c>
      <c r="K443" t="s">
        <v>21</v>
      </c>
      <c r="L443">
        <v>3.55</v>
      </c>
      <c r="M443">
        <v>4.8</v>
      </c>
      <c r="N443">
        <v>4.7</v>
      </c>
      <c r="O443" t="s">
        <v>22</v>
      </c>
      <c r="P443" t="s">
        <v>23</v>
      </c>
      <c r="Q443" t="s">
        <v>24</v>
      </c>
    </row>
    <row r="444" spans="1:17" x14ac:dyDescent="0.35">
      <c r="A444">
        <v>443</v>
      </c>
      <c r="B444" t="s">
        <v>17</v>
      </c>
      <c r="C444">
        <v>18</v>
      </c>
      <c r="D444" t="s">
        <v>26</v>
      </c>
      <c r="E444" t="s">
        <v>35</v>
      </c>
      <c r="F444">
        <v>26</v>
      </c>
      <c r="G444">
        <v>0.69</v>
      </c>
      <c r="H444" t="s">
        <v>20</v>
      </c>
      <c r="I444">
        <v>42696</v>
      </c>
      <c r="J444" t="s">
        <v>28</v>
      </c>
      <c r="K444" t="s">
        <v>28</v>
      </c>
      <c r="L444">
        <v>3.64</v>
      </c>
      <c r="M444">
        <v>4.88</v>
      </c>
      <c r="N444">
        <v>4.55</v>
      </c>
      <c r="O444" t="s">
        <v>22</v>
      </c>
      <c r="P444" t="s">
        <v>32</v>
      </c>
      <c r="Q444" t="s">
        <v>24</v>
      </c>
    </row>
    <row r="445" spans="1:17" x14ac:dyDescent="0.35">
      <c r="A445">
        <v>444</v>
      </c>
      <c r="B445" t="s">
        <v>25</v>
      </c>
      <c r="C445">
        <v>17</v>
      </c>
      <c r="D445" t="s">
        <v>33</v>
      </c>
      <c r="E445" t="s">
        <v>19</v>
      </c>
      <c r="F445">
        <v>29</v>
      </c>
      <c r="G445">
        <v>0.84</v>
      </c>
      <c r="H445" t="s">
        <v>27</v>
      </c>
      <c r="I445">
        <v>53123</v>
      </c>
      <c r="J445" t="s">
        <v>28</v>
      </c>
      <c r="K445" t="s">
        <v>28</v>
      </c>
      <c r="L445">
        <v>4.53</v>
      </c>
      <c r="M445">
        <v>5</v>
      </c>
      <c r="N445">
        <v>3.54</v>
      </c>
      <c r="O445" t="s">
        <v>34</v>
      </c>
      <c r="P445" t="s">
        <v>32</v>
      </c>
      <c r="Q445" t="s">
        <v>29</v>
      </c>
    </row>
    <row r="446" spans="1:17" x14ac:dyDescent="0.35">
      <c r="A446">
        <v>445</v>
      </c>
      <c r="B446" t="s">
        <v>25</v>
      </c>
      <c r="C446">
        <v>17</v>
      </c>
      <c r="D446" t="s">
        <v>26</v>
      </c>
      <c r="E446" t="s">
        <v>19</v>
      </c>
      <c r="F446">
        <v>22</v>
      </c>
      <c r="G446">
        <v>0.79</v>
      </c>
      <c r="H446" t="s">
        <v>31</v>
      </c>
      <c r="I446">
        <v>25989</v>
      </c>
      <c r="J446" t="s">
        <v>28</v>
      </c>
      <c r="K446" t="s">
        <v>28</v>
      </c>
      <c r="L446">
        <v>4.5999999999999996</v>
      </c>
      <c r="M446">
        <v>3.73</v>
      </c>
      <c r="N446">
        <v>4.62</v>
      </c>
      <c r="O446" t="s">
        <v>22</v>
      </c>
      <c r="P446" t="s">
        <v>32</v>
      </c>
      <c r="Q446" t="s">
        <v>24</v>
      </c>
    </row>
    <row r="447" spans="1:17" x14ac:dyDescent="0.35">
      <c r="A447">
        <v>446</v>
      </c>
      <c r="B447" t="s">
        <v>17</v>
      </c>
      <c r="C447">
        <v>15</v>
      </c>
      <c r="D447" t="s">
        <v>39</v>
      </c>
      <c r="E447" t="s">
        <v>19</v>
      </c>
      <c r="F447">
        <v>21</v>
      </c>
      <c r="G447">
        <v>0.9</v>
      </c>
      <c r="H447" t="s">
        <v>20</v>
      </c>
      <c r="I447">
        <v>38931</v>
      </c>
      <c r="J447" t="s">
        <v>21</v>
      </c>
      <c r="K447" t="s">
        <v>28</v>
      </c>
      <c r="L447">
        <v>3.77</v>
      </c>
      <c r="M447">
        <v>4.79</v>
      </c>
      <c r="N447">
        <v>4.07</v>
      </c>
      <c r="O447" t="s">
        <v>34</v>
      </c>
      <c r="P447" t="s">
        <v>32</v>
      </c>
      <c r="Q447" t="s">
        <v>24</v>
      </c>
    </row>
    <row r="448" spans="1:17" x14ac:dyDescent="0.35">
      <c r="A448">
        <v>447</v>
      </c>
      <c r="B448" t="s">
        <v>17</v>
      </c>
      <c r="C448">
        <v>18</v>
      </c>
      <c r="D448" t="s">
        <v>39</v>
      </c>
      <c r="E448" t="s">
        <v>35</v>
      </c>
      <c r="F448">
        <v>16</v>
      </c>
      <c r="G448">
        <v>0.63</v>
      </c>
      <c r="H448" t="s">
        <v>40</v>
      </c>
      <c r="I448">
        <v>19290</v>
      </c>
      <c r="J448" t="s">
        <v>21</v>
      </c>
      <c r="K448" t="s">
        <v>21</v>
      </c>
      <c r="L448">
        <v>3.84</v>
      </c>
      <c r="M448">
        <v>3.9</v>
      </c>
      <c r="N448">
        <v>3.11</v>
      </c>
      <c r="O448" t="s">
        <v>36</v>
      </c>
      <c r="P448" t="s">
        <v>32</v>
      </c>
      <c r="Q448" t="s">
        <v>29</v>
      </c>
    </row>
    <row r="449" spans="1:17" x14ac:dyDescent="0.35">
      <c r="A449">
        <v>448</v>
      </c>
      <c r="B449" t="s">
        <v>25</v>
      </c>
      <c r="C449">
        <v>18</v>
      </c>
      <c r="D449" t="s">
        <v>18</v>
      </c>
      <c r="E449" t="s">
        <v>35</v>
      </c>
      <c r="F449">
        <v>10</v>
      </c>
      <c r="G449">
        <v>0.82</v>
      </c>
      <c r="H449" t="s">
        <v>40</v>
      </c>
      <c r="I449">
        <v>48367</v>
      </c>
      <c r="J449" t="s">
        <v>21</v>
      </c>
      <c r="K449" t="s">
        <v>28</v>
      </c>
      <c r="L449">
        <v>3.09</v>
      </c>
      <c r="M449">
        <v>4.3899999999999997</v>
      </c>
      <c r="N449">
        <v>3.91</v>
      </c>
      <c r="O449" t="s">
        <v>34</v>
      </c>
      <c r="P449" t="s">
        <v>23</v>
      </c>
      <c r="Q449" t="s">
        <v>24</v>
      </c>
    </row>
    <row r="450" spans="1:17" x14ac:dyDescent="0.35">
      <c r="A450">
        <v>449</v>
      </c>
      <c r="B450" t="s">
        <v>17</v>
      </c>
      <c r="C450">
        <v>16</v>
      </c>
      <c r="D450" t="s">
        <v>33</v>
      </c>
      <c r="E450" t="s">
        <v>19</v>
      </c>
      <c r="F450">
        <v>12</v>
      </c>
      <c r="G450">
        <v>0.61</v>
      </c>
      <c r="H450" t="s">
        <v>31</v>
      </c>
      <c r="I450">
        <v>24342</v>
      </c>
      <c r="J450" t="s">
        <v>21</v>
      </c>
      <c r="K450" t="s">
        <v>21</v>
      </c>
      <c r="L450">
        <v>3.58</v>
      </c>
      <c r="M450">
        <v>4.26</v>
      </c>
      <c r="N450">
        <v>4.88</v>
      </c>
      <c r="O450" t="s">
        <v>22</v>
      </c>
      <c r="P450" t="s">
        <v>23</v>
      </c>
      <c r="Q450" t="s">
        <v>24</v>
      </c>
    </row>
    <row r="451" spans="1:17" x14ac:dyDescent="0.35">
      <c r="A451">
        <v>450</v>
      </c>
      <c r="B451" t="s">
        <v>25</v>
      </c>
      <c r="C451">
        <v>18</v>
      </c>
      <c r="D451" t="s">
        <v>39</v>
      </c>
      <c r="E451" t="s">
        <v>19</v>
      </c>
      <c r="F451">
        <v>23</v>
      </c>
      <c r="G451">
        <v>0.81</v>
      </c>
      <c r="H451" t="s">
        <v>31</v>
      </c>
      <c r="I451">
        <v>34941</v>
      </c>
      <c r="J451" t="s">
        <v>21</v>
      </c>
      <c r="K451" t="s">
        <v>28</v>
      </c>
      <c r="L451">
        <v>3.9</v>
      </c>
      <c r="M451">
        <v>3.53</v>
      </c>
      <c r="N451">
        <v>4.78</v>
      </c>
      <c r="O451" t="s">
        <v>22</v>
      </c>
      <c r="P451" t="s">
        <v>32</v>
      </c>
      <c r="Q451" t="s">
        <v>24</v>
      </c>
    </row>
    <row r="452" spans="1:17" x14ac:dyDescent="0.35">
      <c r="A452">
        <v>451</v>
      </c>
      <c r="B452" t="s">
        <v>25</v>
      </c>
      <c r="C452">
        <v>18</v>
      </c>
      <c r="D452" t="s">
        <v>37</v>
      </c>
      <c r="E452" t="s">
        <v>19</v>
      </c>
      <c r="F452">
        <v>14</v>
      </c>
      <c r="G452">
        <v>0.96</v>
      </c>
      <c r="H452" t="s">
        <v>31</v>
      </c>
      <c r="I452">
        <v>23945</v>
      </c>
      <c r="J452" t="s">
        <v>21</v>
      </c>
      <c r="K452" t="s">
        <v>21</v>
      </c>
      <c r="L452">
        <v>3.23</v>
      </c>
      <c r="M452">
        <v>4.9000000000000004</v>
      </c>
      <c r="N452">
        <v>3.2</v>
      </c>
      <c r="O452" t="s">
        <v>36</v>
      </c>
      <c r="P452" t="s">
        <v>23</v>
      </c>
      <c r="Q452" t="s">
        <v>29</v>
      </c>
    </row>
    <row r="453" spans="1:17" x14ac:dyDescent="0.35">
      <c r="A453">
        <v>452</v>
      </c>
      <c r="B453" t="s">
        <v>25</v>
      </c>
      <c r="C453">
        <v>15</v>
      </c>
      <c r="D453" t="s">
        <v>26</v>
      </c>
      <c r="E453" t="s">
        <v>35</v>
      </c>
      <c r="F453">
        <v>5</v>
      </c>
      <c r="G453">
        <v>0.67</v>
      </c>
      <c r="H453" t="s">
        <v>31</v>
      </c>
      <c r="I453">
        <v>20762</v>
      </c>
      <c r="J453" t="s">
        <v>28</v>
      </c>
      <c r="K453" t="s">
        <v>28</v>
      </c>
      <c r="L453">
        <v>3.91</v>
      </c>
      <c r="M453">
        <v>3.62</v>
      </c>
      <c r="N453">
        <v>4.49</v>
      </c>
      <c r="O453" t="s">
        <v>34</v>
      </c>
      <c r="P453" t="s">
        <v>23</v>
      </c>
      <c r="Q453" t="s">
        <v>24</v>
      </c>
    </row>
    <row r="454" spans="1:17" x14ac:dyDescent="0.35">
      <c r="A454">
        <v>453</v>
      </c>
      <c r="B454" t="s">
        <v>25</v>
      </c>
      <c r="C454">
        <v>18</v>
      </c>
      <c r="D454" t="s">
        <v>30</v>
      </c>
      <c r="E454" t="s">
        <v>19</v>
      </c>
      <c r="F454">
        <v>29</v>
      </c>
      <c r="G454">
        <v>0.66</v>
      </c>
      <c r="H454" t="s">
        <v>31</v>
      </c>
      <c r="I454">
        <v>40133</v>
      </c>
      <c r="J454" t="s">
        <v>21</v>
      </c>
      <c r="K454" t="s">
        <v>21</v>
      </c>
      <c r="L454">
        <v>4.71</v>
      </c>
      <c r="M454">
        <v>4.53</v>
      </c>
      <c r="N454">
        <v>4.6100000000000003</v>
      </c>
      <c r="O454" t="s">
        <v>22</v>
      </c>
      <c r="P454" t="s">
        <v>32</v>
      </c>
      <c r="Q454" t="s">
        <v>29</v>
      </c>
    </row>
    <row r="455" spans="1:17" x14ac:dyDescent="0.35">
      <c r="A455">
        <v>454</v>
      </c>
      <c r="B455" t="s">
        <v>25</v>
      </c>
      <c r="C455">
        <v>17</v>
      </c>
      <c r="D455" t="s">
        <v>37</v>
      </c>
      <c r="E455" t="s">
        <v>19</v>
      </c>
      <c r="F455">
        <v>17</v>
      </c>
      <c r="G455">
        <v>0.73</v>
      </c>
      <c r="H455" t="s">
        <v>27</v>
      </c>
      <c r="I455">
        <v>57080</v>
      </c>
      <c r="J455" t="s">
        <v>21</v>
      </c>
      <c r="K455" t="s">
        <v>28</v>
      </c>
      <c r="L455">
        <v>4.16</v>
      </c>
      <c r="M455">
        <v>4.68</v>
      </c>
      <c r="N455">
        <v>3.54</v>
      </c>
      <c r="O455" t="s">
        <v>34</v>
      </c>
      <c r="P455" t="s">
        <v>32</v>
      </c>
      <c r="Q455" t="s">
        <v>29</v>
      </c>
    </row>
    <row r="456" spans="1:17" x14ac:dyDescent="0.35">
      <c r="A456">
        <v>455</v>
      </c>
      <c r="B456" t="s">
        <v>17</v>
      </c>
      <c r="C456">
        <v>15</v>
      </c>
      <c r="D456" t="s">
        <v>41</v>
      </c>
      <c r="E456" t="s">
        <v>35</v>
      </c>
      <c r="F456">
        <v>21</v>
      </c>
      <c r="G456">
        <v>0.62</v>
      </c>
      <c r="H456" t="s">
        <v>27</v>
      </c>
      <c r="I456">
        <v>50150</v>
      </c>
      <c r="J456" t="s">
        <v>28</v>
      </c>
      <c r="K456" t="s">
        <v>21</v>
      </c>
      <c r="L456">
        <v>3.16</v>
      </c>
      <c r="M456">
        <v>4.6900000000000004</v>
      </c>
      <c r="N456">
        <v>3.94</v>
      </c>
      <c r="O456" t="s">
        <v>34</v>
      </c>
      <c r="P456" t="s">
        <v>32</v>
      </c>
      <c r="Q456" t="s">
        <v>24</v>
      </c>
    </row>
    <row r="457" spans="1:17" x14ac:dyDescent="0.35">
      <c r="A457">
        <v>456</v>
      </c>
      <c r="B457" t="s">
        <v>17</v>
      </c>
      <c r="C457">
        <v>15</v>
      </c>
      <c r="D457" t="s">
        <v>39</v>
      </c>
      <c r="E457" t="s">
        <v>19</v>
      </c>
      <c r="F457">
        <v>7</v>
      </c>
      <c r="G457">
        <v>0.75</v>
      </c>
      <c r="H457" t="s">
        <v>20</v>
      </c>
      <c r="I457">
        <v>37052</v>
      </c>
      <c r="J457" t="s">
        <v>21</v>
      </c>
      <c r="K457" t="s">
        <v>21</v>
      </c>
      <c r="L457">
        <v>3.38</v>
      </c>
      <c r="M457">
        <v>3.7</v>
      </c>
      <c r="N457">
        <v>4.42</v>
      </c>
      <c r="O457" t="s">
        <v>34</v>
      </c>
      <c r="P457" t="s">
        <v>23</v>
      </c>
      <c r="Q457" t="s">
        <v>24</v>
      </c>
    </row>
    <row r="458" spans="1:17" x14ac:dyDescent="0.35">
      <c r="A458">
        <v>457</v>
      </c>
      <c r="B458" t="s">
        <v>25</v>
      </c>
      <c r="C458">
        <v>16</v>
      </c>
      <c r="D458" t="s">
        <v>37</v>
      </c>
      <c r="E458" t="s">
        <v>35</v>
      </c>
      <c r="F458">
        <v>12</v>
      </c>
      <c r="G458">
        <v>0.78</v>
      </c>
      <c r="H458" t="s">
        <v>40</v>
      </c>
      <c r="I458">
        <v>51750</v>
      </c>
      <c r="J458" t="s">
        <v>28</v>
      </c>
      <c r="K458" t="s">
        <v>21</v>
      </c>
      <c r="L458">
        <v>3.95</v>
      </c>
      <c r="M458">
        <v>4.17</v>
      </c>
      <c r="N458">
        <v>3.88</v>
      </c>
      <c r="O458" t="s">
        <v>34</v>
      </c>
      <c r="P458" t="s">
        <v>23</v>
      </c>
      <c r="Q458" t="s">
        <v>29</v>
      </c>
    </row>
    <row r="459" spans="1:17" x14ac:dyDescent="0.35">
      <c r="A459">
        <v>458</v>
      </c>
      <c r="B459" t="s">
        <v>25</v>
      </c>
      <c r="C459">
        <v>18</v>
      </c>
      <c r="D459" t="s">
        <v>37</v>
      </c>
      <c r="E459" t="s">
        <v>35</v>
      </c>
      <c r="F459">
        <v>18</v>
      </c>
      <c r="G459">
        <v>0.77</v>
      </c>
      <c r="H459" t="s">
        <v>27</v>
      </c>
      <c r="I459">
        <v>29953</v>
      </c>
      <c r="J459" t="s">
        <v>28</v>
      </c>
      <c r="K459" t="s">
        <v>28</v>
      </c>
      <c r="L459">
        <v>3.72</v>
      </c>
      <c r="M459">
        <v>4.74</v>
      </c>
      <c r="N459">
        <v>3.23</v>
      </c>
      <c r="O459" t="s">
        <v>36</v>
      </c>
      <c r="P459" t="s">
        <v>32</v>
      </c>
      <c r="Q459" t="s">
        <v>29</v>
      </c>
    </row>
    <row r="460" spans="1:17" x14ac:dyDescent="0.35">
      <c r="A460">
        <v>459</v>
      </c>
      <c r="B460" t="s">
        <v>17</v>
      </c>
      <c r="C460">
        <v>16</v>
      </c>
      <c r="D460" t="s">
        <v>41</v>
      </c>
      <c r="E460" t="s">
        <v>35</v>
      </c>
      <c r="F460">
        <v>7</v>
      </c>
      <c r="G460">
        <v>0.75</v>
      </c>
      <c r="H460" t="s">
        <v>27</v>
      </c>
      <c r="I460">
        <v>50475</v>
      </c>
      <c r="J460" t="s">
        <v>21</v>
      </c>
      <c r="K460" t="s">
        <v>21</v>
      </c>
      <c r="L460">
        <v>3.72</v>
      </c>
      <c r="M460">
        <v>3.95</v>
      </c>
      <c r="N460">
        <v>4.41</v>
      </c>
      <c r="O460" t="s">
        <v>34</v>
      </c>
      <c r="P460" t="s">
        <v>23</v>
      </c>
      <c r="Q460" t="s">
        <v>24</v>
      </c>
    </row>
    <row r="461" spans="1:17" x14ac:dyDescent="0.35">
      <c r="A461">
        <v>460</v>
      </c>
      <c r="B461" t="s">
        <v>17</v>
      </c>
      <c r="C461">
        <v>17</v>
      </c>
      <c r="D461" t="s">
        <v>42</v>
      </c>
      <c r="E461" t="s">
        <v>19</v>
      </c>
      <c r="F461">
        <v>20</v>
      </c>
      <c r="G461">
        <v>0.67</v>
      </c>
      <c r="H461" t="s">
        <v>27</v>
      </c>
      <c r="I461">
        <v>27130</v>
      </c>
      <c r="J461" t="s">
        <v>28</v>
      </c>
      <c r="K461" t="s">
        <v>21</v>
      </c>
      <c r="L461">
        <v>4.0599999999999996</v>
      </c>
      <c r="M461">
        <v>4.2</v>
      </c>
      <c r="N461">
        <v>4.82</v>
      </c>
      <c r="O461" t="s">
        <v>22</v>
      </c>
      <c r="P461" t="s">
        <v>32</v>
      </c>
      <c r="Q461" t="s">
        <v>24</v>
      </c>
    </row>
    <row r="462" spans="1:17" x14ac:dyDescent="0.35">
      <c r="A462">
        <v>461</v>
      </c>
      <c r="B462" t="s">
        <v>25</v>
      </c>
      <c r="C462">
        <v>15</v>
      </c>
      <c r="D462" t="s">
        <v>26</v>
      </c>
      <c r="E462" t="s">
        <v>19</v>
      </c>
      <c r="F462">
        <v>17</v>
      </c>
      <c r="G462">
        <v>0.92</v>
      </c>
      <c r="H462" t="s">
        <v>20</v>
      </c>
      <c r="I462">
        <v>41086</v>
      </c>
      <c r="J462" t="s">
        <v>28</v>
      </c>
      <c r="K462" t="s">
        <v>21</v>
      </c>
      <c r="L462">
        <v>4.17</v>
      </c>
      <c r="M462">
        <v>3.91</v>
      </c>
      <c r="N462">
        <v>4.3</v>
      </c>
      <c r="O462" t="s">
        <v>34</v>
      </c>
      <c r="P462" t="s">
        <v>32</v>
      </c>
      <c r="Q462" t="s">
        <v>24</v>
      </c>
    </row>
    <row r="463" spans="1:17" x14ac:dyDescent="0.35">
      <c r="A463">
        <v>462</v>
      </c>
      <c r="B463" t="s">
        <v>17</v>
      </c>
      <c r="C463">
        <v>15</v>
      </c>
      <c r="D463" t="s">
        <v>30</v>
      </c>
      <c r="E463" t="s">
        <v>35</v>
      </c>
      <c r="F463">
        <v>24</v>
      </c>
      <c r="G463">
        <v>0.71</v>
      </c>
      <c r="H463" t="s">
        <v>31</v>
      </c>
      <c r="I463">
        <v>14633</v>
      </c>
      <c r="J463" t="s">
        <v>28</v>
      </c>
      <c r="K463" t="s">
        <v>21</v>
      </c>
      <c r="L463">
        <v>4.59</v>
      </c>
      <c r="M463">
        <v>4.2</v>
      </c>
      <c r="N463">
        <v>4.55</v>
      </c>
      <c r="O463" t="s">
        <v>22</v>
      </c>
      <c r="P463" t="s">
        <v>32</v>
      </c>
      <c r="Q463" t="s">
        <v>29</v>
      </c>
    </row>
    <row r="464" spans="1:17" x14ac:dyDescent="0.35">
      <c r="A464">
        <v>463</v>
      </c>
      <c r="B464" t="s">
        <v>25</v>
      </c>
      <c r="C464">
        <v>15</v>
      </c>
      <c r="D464" t="s">
        <v>18</v>
      </c>
      <c r="E464" t="s">
        <v>19</v>
      </c>
      <c r="F464">
        <v>28</v>
      </c>
      <c r="G464">
        <v>0.7</v>
      </c>
      <c r="H464" t="s">
        <v>20</v>
      </c>
      <c r="I464">
        <v>27304</v>
      </c>
      <c r="J464" t="s">
        <v>28</v>
      </c>
      <c r="K464" t="s">
        <v>28</v>
      </c>
      <c r="L464">
        <v>3.68</v>
      </c>
      <c r="M464">
        <v>4.83</v>
      </c>
      <c r="N464">
        <v>3.72</v>
      </c>
      <c r="O464" t="s">
        <v>34</v>
      </c>
      <c r="P464" t="s">
        <v>32</v>
      </c>
      <c r="Q464" t="s">
        <v>24</v>
      </c>
    </row>
    <row r="465" spans="1:17" x14ac:dyDescent="0.35">
      <c r="A465">
        <v>464</v>
      </c>
      <c r="B465" t="s">
        <v>17</v>
      </c>
      <c r="C465">
        <v>17</v>
      </c>
      <c r="D465" t="s">
        <v>42</v>
      </c>
      <c r="E465" t="s">
        <v>19</v>
      </c>
      <c r="F465">
        <v>21</v>
      </c>
      <c r="G465">
        <v>0.64</v>
      </c>
      <c r="H465" t="s">
        <v>40</v>
      </c>
      <c r="I465">
        <v>52037</v>
      </c>
      <c r="J465" t="s">
        <v>21</v>
      </c>
      <c r="K465" t="s">
        <v>21</v>
      </c>
      <c r="L465">
        <v>4.6100000000000003</v>
      </c>
      <c r="M465">
        <v>4.18</v>
      </c>
      <c r="N465">
        <v>3.37</v>
      </c>
      <c r="O465" t="s">
        <v>36</v>
      </c>
      <c r="P465" t="s">
        <v>32</v>
      </c>
      <c r="Q465" t="s">
        <v>29</v>
      </c>
    </row>
    <row r="466" spans="1:17" x14ac:dyDescent="0.35">
      <c r="A466">
        <v>465</v>
      </c>
      <c r="B466" t="s">
        <v>25</v>
      </c>
      <c r="C466">
        <v>17</v>
      </c>
      <c r="D466" t="s">
        <v>39</v>
      </c>
      <c r="E466" t="s">
        <v>19</v>
      </c>
      <c r="F466">
        <v>17</v>
      </c>
      <c r="G466">
        <v>0.86</v>
      </c>
      <c r="H466" t="s">
        <v>40</v>
      </c>
      <c r="I466">
        <v>42284</v>
      </c>
      <c r="J466" t="s">
        <v>28</v>
      </c>
      <c r="K466" t="s">
        <v>21</v>
      </c>
      <c r="L466">
        <v>3.68</v>
      </c>
      <c r="M466">
        <v>4.33</v>
      </c>
      <c r="N466">
        <v>4.29</v>
      </c>
      <c r="O466" t="s">
        <v>34</v>
      </c>
      <c r="P466" t="s">
        <v>32</v>
      </c>
      <c r="Q466" t="s">
        <v>24</v>
      </c>
    </row>
    <row r="467" spans="1:17" x14ac:dyDescent="0.35">
      <c r="A467">
        <v>466</v>
      </c>
      <c r="B467" t="s">
        <v>17</v>
      </c>
      <c r="C467">
        <v>16</v>
      </c>
      <c r="D467" t="s">
        <v>37</v>
      </c>
      <c r="E467" t="s">
        <v>19</v>
      </c>
      <c r="F467">
        <v>10</v>
      </c>
      <c r="G467">
        <v>0.71</v>
      </c>
      <c r="H467" t="s">
        <v>40</v>
      </c>
      <c r="I467">
        <v>56546</v>
      </c>
      <c r="J467" t="s">
        <v>21</v>
      </c>
      <c r="K467" t="s">
        <v>21</v>
      </c>
      <c r="L467">
        <v>3.11</v>
      </c>
      <c r="M467">
        <v>4.1100000000000003</v>
      </c>
      <c r="N467">
        <v>3.66</v>
      </c>
      <c r="O467" t="s">
        <v>34</v>
      </c>
      <c r="P467" t="s">
        <v>23</v>
      </c>
      <c r="Q467" t="s">
        <v>24</v>
      </c>
    </row>
    <row r="468" spans="1:17" x14ac:dyDescent="0.35">
      <c r="A468">
        <v>467</v>
      </c>
      <c r="B468" t="s">
        <v>25</v>
      </c>
      <c r="C468">
        <v>16</v>
      </c>
      <c r="D468" t="s">
        <v>33</v>
      </c>
      <c r="E468" t="s">
        <v>35</v>
      </c>
      <c r="F468">
        <v>21</v>
      </c>
      <c r="G468">
        <v>0.76</v>
      </c>
      <c r="H468" t="s">
        <v>40</v>
      </c>
      <c r="I468">
        <v>17008</v>
      </c>
      <c r="J468" t="s">
        <v>28</v>
      </c>
      <c r="K468" t="s">
        <v>28</v>
      </c>
      <c r="L468">
        <v>4.1100000000000003</v>
      </c>
      <c r="M468">
        <v>4.1900000000000004</v>
      </c>
      <c r="N468">
        <v>4.72</v>
      </c>
      <c r="O468" t="s">
        <v>22</v>
      </c>
      <c r="P468" t="s">
        <v>32</v>
      </c>
      <c r="Q468" t="s">
        <v>24</v>
      </c>
    </row>
    <row r="469" spans="1:17" x14ac:dyDescent="0.35">
      <c r="A469">
        <v>468</v>
      </c>
      <c r="B469" t="s">
        <v>17</v>
      </c>
      <c r="C469">
        <v>16</v>
      </c>
      <c r="D469" t="s">
        <v>41</v>
      </c>
      <c r="E469" t="s">
        <v>19</v>
      </c>
      <c r="F469">
        <v>18</v>
      </c>
      <c r="G469">
        <v>0.65</v>
      </c>
      <c r="H469" t="s">
        <v>27</v>
      </c>
      <c r="I469">
        <v>58291</v>
      </c>
      <c r="J469" t="s">
        <v>28</v>
      </c>
      <c r="K469" t="s">
        <v>21</v>
      </c>
      <c r="L469">
        <v>4.18</v>
      </c>
      <c r="M469">
        <v>3.52</v>
      </c>
      <c r="N469">
        <v>3.25</v>
      </c>
      <c r="O469" t="s">
        <v>36</v>
      </c>
      <c r="P469" t="s">
        <v>32</v>
      </c>
      <c r="Q469" t="s">
        <v>29</v>
      </c>
    </row>
    <row r="470" spans="1:17" x14ac:dyDescent="0.35">
      <c r="A470">
        <v>469</v>
      </c>
      <c r="B470" t="s">
        <v>17</v>
      </c>
      <c r="C470">
        <v>18</v>
      </c>
      <c r="D470" t="s">
        <v>41</v>
      </c>
      <c r="E470" t="s">
        <v>35</v>
      </c>
      <c r="F470">
        <v>21</v>
      </c>
      <c r="G470">
        <v>0.92</v>
      </c>
      <c r="H470" t="s">
        <v>27</v>
      </c>
      <c r="I470">
        <v>37405</v>
      </c>
      <c r="J470" t="s">
        <v>28</v>
      </c>
      <c r="K470" t="s">
        <v>21</v>
      </c>
      <c r="L470">
        <v>4.87</v>
      </c>
      <c r="M470">
        <v>3.93</v>
      </c>
      <c r="N470">
        <v>3.87</v>
      </c>
      <c r="O470" t="s">
        <v>34</v>
      </c>
      <c r="P470" t="s">
        <v>32</v>
      </c>
      <c r="Q470" t="s">
        <v>29</v>
      </c>
    </row>
    <row r="471" spans="1:17" x14ac:dyDescent="0.35">
      <c r="A471">
        <v>470</v>
      </c>
      <c r="B471" t="s">
        <v>25</v>
      </c>
      <c r="C471">
        <v>15</v>
      </c>
      <c r="D471" t="s">
        <v>33</v>
      </c>
      <c r="E471" t="s">
        <v>35</v>
      </c>
      <c r="F471">
        <v>12</v>
      </c>
      <c r="G471">
        <v>0.64</v>
      </c>
      <c r="H471" t="s">
        <v>20</v>
      </c>
      <c r="I471">
        <v>46386</v>
      </c>
      <c r="J471" t="s">
        <v>21</v>
      </c>
      <c r="K471" t="s">
        <v>21</v>
      </c>
      <c r="L471">
        <v>4.45</v>
      </c>
      <c r="M471">
        <v>4.1500000000000004</v>
      </c>
      <c r="N471">
        <v>3.79</v>
      </c>
      <c r="O471" t="s">
        <v>34</v>
      </c>
      <c r="P471" t="s">
        <v>23</v>
      </c>
      <c r="Q471" t="s">
        <v>29</v>
      </c>
    </row>
    <row r="472" spans="1:17" x14ac:dyDescent="0.35">
      <c r="A472">
        <v>471</v>
      </c>
      <c r="B472" t="s">
        <v>17</v>
      </c>
      <c r="C472">
        <v>15</v>
      </c>
      <c r="D472" t="s">
        <v>26</v>
      </c>
      <c r="E472" t="s">
        <v>19</v>
      </c>
      <c r="F472">
        <v>15</v>
      </c>
      <c r="G472">
        <v>0.87</v>
      </c>
      <c r="H472" t="s">
        <v>31</v>
      </c>
      <c r="I472">
        <v>35373</v>
      </c>
      <c r="J472" t="s">
        <v>21</v>
      </c>
      <c r="K472" t="s">
        <v>21</v>
      </c>
      <c r="L472">
        <v>4.84</v>
      </c>
      <c r="M472">
        <v>4.45</v>
      </c>
      <c r="N472">
        <v>4.88</v>
      </c>
      <c r="O472" t="s">
        <v>22</v>
      </c>
      <c r="P472" t="s">
        <v>32</v>
      </c>
      <c r="Q472" t="s">
        <v>24</v>
      </c>
    </row>
    <row r="473" spans="1:17" x14ac:dyDescent="0.35">
      <c r="A473">
        <v>472</v>
      </c>
      <c r="B473" t="s">
        <v>25</v>
      </c>
      <c r="C473">
        <v>16</v>
      </c>
      <c r="D473" t="s">
        <v>42</v>
      </c>
      <c r="E473" t="s">
        <v>35</v>
      </c>
      <c r="F473">
        <v>24</v>
      </c>
      <c r="G473">
        <v>0.73</v>
      </c>
      <c r="H473" t="s">
        <v>40</v>
      </c>
      <c r="I473">
        <v>30827</v>
      </c>
      <c r="J473" t="s">
        <v>21</v>
      </c>
      <c r="K473" t="s">
        <v>28</v>
      </c>
      <c r="L473">
        <v>4.82</v>
      </c>
      <c r="M473">
        <v>4.18</v>
      </c>
      <c r="N473">
        <v>3.31</v>
      </c>
      <c r="O473" t="s">
        <v>36</v>
      </c>
      <c r="P473" t="s">
        <v>32</v>
      </c>
      <c r="Q473" t="s">
        <v>29</v>
      </c>
    </row>
    <row r="474" spans="1:17" x14ac:dyDescent="0.35">
      <c r="A474">
        <v>473</v>
      </c>
      <c r="B474" t="s">
        <v>17</v>
      </c>
      <c r="C474">
        <v>15</v>
      </c>
      <c r="D474" t="s">
        <v>18</v>
      </c>
      <c r="E474" t="s">
        <v>19</v>
      </c>
      <c r="F474">
        <v>5</v>
      </c>
      <c r="G474">
        <v>0.64</v>
      </c>
      <c r="H474" t="s">
        <v>20</v>
      </c>
      <c r="I474">
        <v>43040</v>
      </c>
      <c r="J474" t="s">
        <v>28</v>
      </c>
      <c r="K474" t="s">
        <v>21</v>
      </c>
      <c r="L474">
        <v>4.21</v>
      </c>
      <c r="M474">
        <v>4.01</v>
      </c>
      <c r="N474">
        <v>3.02</v>
      </c>
      <c r="O474" t="s">
        <v>36</v>
      </c>
      <c r="P474" t="s">
        <v>23</v>
      </c>
      <c r="Q474" t="s">
        <v>29</v>
      </c>
    </row>
    <row r="475" spans="1:17" x14ac:dyDescent="0.35">
      <c r="A475">
        <v>474</v>
      </c>
      <c r="B475" t="s">
        <v>25</v>
      </c>
      <c r="C475">
        <v>16</v>
      </c>
      <c r="D475" t="s">
        <v>26</v>
      </c>
      <c r="E475" t="s">
        <v>19</v>
      </c>
      <c r="F475">
        <v>11</v>
      </c>
      <c r="G475">
        <v>0.92</v>
      </c>
      <c r="H475" t="s">
        <v>27</v>
      </c>
      <c r="I475">
        <v>23007</v>
      </c>
      <c r="J475" t="s">
        <v>28</v>
      </c>
      <c r="K475" t="s">
        <v>21</v>
      </c>
      <c r="L475">
        <v>4.0599999999999996</v>
      </c>
      <c r="M475">
        <v>4.08</v>
      </c>
      <c r="N475">
        <v>3.48</v>
      </c>
      <c r="O475" t="s">
        <v>36</v>
      </c>
      <c r="P475" t="s">
        <v>23</v>
      </c>
      <c r="Q475" t="s">
        <v>29</v>
      </c>
    </row>
    <row r="476" spans="1:17" x14ac:dyDescent="0.35">
      <c r="A476">
        <v>475</v>
      </c>
      <c r="B476" t="s">
        <v>17</v>
      </c>
      <c r="C476">
        <v>18</v>
      </c>
      <c r="D476" t="s">
        <v>33</v>
      </c>
      <c r="E476" t="s">
        <v>35</v>
      </c>
      <c r="F476">
        <v>25</v>
      </c>
      <c r="G476">
        <v>0.78</v>
      </c>
      <c r="H476" t="s">
        <v>27</v>
      </c>
      <c r="I476">
        <v>28157</v>
      </c>
      <c r="J476" t="s">
        <v>28</v>
      </c>
      <c r="K476" t="s">
        <v>28</v>
      </c>
      <c r="L476">
        <v>4.1100000000000003</v>
      </c>
      <c r="M476">
        <v>3.86</v>
      </c>
      <c r="N476">
        <v>4.6399999999999997</v>
      </c>
      <c r="O476" t="s">
        <v>22</v>
      </c>
      <c r="P476" t="s">
        <v>32</v>
      </c>
      <c r="Q476" t="s">
        <v>24</v>
      </c>
    </row>
    <row r="477" spans="1:17" x14ac:dyDescent="0.35">
      <c r="A477">
        <v>476</v>
      </c>
      <c r="B477" t="s">
        <v>25</v>
      </c>
      <c r="C477">
        <v>18</v>
      </c>
      <c r="D477" t="s">
        <v>37</v>
      </c>
      <c r="E477" t="s">
        <v>35</v>
      </c>
      <c r="F477">
        <v>25</v>
      </c>
      <c r="G477">
        <v>0.81</v>
      </c>
      <c r="H477" t="s">
        <v>31</v>
      </c>
      <c r="I477">
        <v>42157</v>
      </c>
      <c r="J477" t="s">
        <v>28</v>
      </c>
      <c r="K477" t="s">
        <v>28</v>
      </c>
      <c r="L477">
        <v>4.96</v>
      </c>
      <c r="M477">
        <v>4.8899999999999997</v>
      </c>
      <c r="N477">
        <v>3.42</v>
      </c>
      <c r="O477" t="s">
        <v>36</v>
      </c>
      <c r="P477" t="s">
        <v>32</v>
      </c>
      <c r="Q477" t="s">
        <v>29</v>
      </c>
    </row>
    <row r="478" spans="1:17" x14ac:dyDescent="0.35">
      <c r="A478">
        <v>477</v>
      </c>
      <c r="B478" t="s">
        <v>17</v>
      </c>
      <c r="C478">
        <v>17</v>
      </c>
      <c r="D478" t="s">
        <v>33</v>
      </c>
      <c r="E478" t="s">
        <v>35</v>
      </c>
      <c r="F478">
        <v>21</v>
      </c>
      <c r="G478">
        <v>0.64</v>
      </c>
      <c r="H478" t="s">
        <v>31</v>
      </c>
      <c r="I478">
        <v>45315</v>
      </c>
      <c r="J478" t="s">
        <v>21</v>
      </c>
      <c r="K478" t="s">
        <v>28</v>
      </c>
      <c r="L478">
        <v>4.55</v>
      </c>
      <c r="M478">
        <v>4.28</v>
      </c>
      <c r="N478">
        <v>3.48</v>
      </c>
      <c r="O478" t="s">
        <v>36</v>
      </c>
      <c r="P478" t="s">
        <v>32</v>
      </c>
      <c r="Q478" t="s">
        <v>29</v>
      </c>
    </row>
    <row r="479" spans="1:17" x14ac:dyDescent="0.35">
      <c r="A479">
        <v>478</v>
      </c>
      <c r="B479" t="s">
        <v>25</v>
      </c>
      <c r="C479">
        <v>18</v>
      </c>
      <c r="D479" t="s">
        <v>26</v>
      </c>
      <c r="E479" t="s">
        <v>35</v>
      </c>
      <c r="F479">
        <v>14</v>
      </c>
      <c r="G479">
        <v>0.61</v>
      </c>
      <c r="H479" t="s">
        <v>31</v>
      </c>
      <c r="I479">
        <v>45932</v>
      </c>
      <c r="J479" t="s">
        <v>28</v>
      </c>
      <c r="K479" t="s">
        <v>21</v>
      </c>
      <c r="L479">
        <v>3.21</v>
      </c>
      <c r="M479">
        <v>3.52</v>
      </c>
      <c r="N479">
        <v>3.26</v>
      </c>
      <c r="O479" t="s">
        <v>36</v>
      </c>
      <c r="P479" t="s">
        <v>23</v>
      </c>
      <c r="Q479" t="s">
        <v>24</v>
      </c>
    </row>
    <row r="480" spans="1:17" x14ac:dyDescent="0.35">
      <c r="A480">
        <v>479</v>
      </c>
      <c r="B480" t="s">
        <v>17</v>
      </c>
      <c r="C480">
        <v>16</v>
      </c>
      <c r="D480" t="s">
        <v>30</v>
      </c>
      <c r="E480" t="s">
        <v>19</v>
      </c>
      <c r="F480">
        <v>15</v>
      </c>
      <c r="G480">
        <v>0.89</v>
      </c>
      <c r="H480" t="s">
        <v>20</v>
      </c>
      <c r="I480">
        <v>31164</v>
      </c>
      <c r="J480" t="s">
        <v>21</v>
      </c>
      <c r="K480" t="s">
        <v>28</v>
      </c>
      <c r="L480">
        <v>4.5599999999999996</v>
      </c>
      <c r="M480">
        <v>3.53</v>
      </c>
      <c r="N480">
        <v>4.43</v>
      </c>
      <c r="O480" t="s">
        <v>34</v>
      </c>
      <c r="P480" t="s">
        <v>32</v>
      </c>
      <c r="Q480" t="s">
        <v>29</v>
      </c>
    </row>
    <row r="481" spans="1:17" x14ac:dyDescent="0.35">
      <c r="A481">
        <v>480</v>
      </c>
      <c r="B481" t="s">
        <v>25</v>
      </c>
      <c r="C481">
        <v>18</v>
      </c>
      <c r="D481" t="s">
        <v>41</v>
      </c>
      <c r="E481" t="s">
        <v>19</v>
      </c>
      <c r="F481">
        <v>26</v>
      </c>
      <c r="G481">
        <v>0.98</v>
      </c>
      <c r="H481" t="s">
        <v>27</v>
      </c>
      <c r="I481">
        <v>24414</v>
      </c>
      <c r="J481" t="s">
        <v>28</v>
      </c>
      <c r="K481" t="s">
        <v>21</v>
      </c>
      <c r="L481">
        <v>3.34</v>
      </c>
      <c r="M481">
        <v>4.96</v>
      </c>
      <c r="N481">
        <v>3.14</v>
      </c>
      <c r="O481" t="s">
        <v>36</v>
      </c>
      <c r="P481" t="s">
        <v>32</v>
      </c>
      <c r="Q481" t="s">
        <v>29</v>
      </c>
    </row>
    <row r="482" spans="1:17" x14ac:dyDescent="0.35">
      <c r="A482">
        <v>481</v>
      </c>
      <c r="B482" t="s">
        <v>25</v>
      </c>
      <c r="C482">
        <v>17</v>
      </c>
      <c r="D482" t="s">
        <v>41</v>
      </c>
      <c r="E482" t="s">
        <v>19</v>
      </c>
      <c r="F482">
        <v>13</v>
      </c>
      <c r="G482">
        <v>0.63</v>
      </c>
      <c r="H482" t="s">
        <v>27</v>
      </c>
      <c r="I482">
        <v>24327</v>
      </c>
      <c r="J482" t="s">
        <v>21</v>
      </c>
      <c r="K482" t="s">
        <v>28</v>
      </c>
      <c r="L482">
        <v>3.89</v>
      </c>
      <c r="M482">
        <v>3.83</v>
      </c>
      <c r="N482">
        <v>3.66</v>
      </c>
      <c r="O482" t="s">
        <v>34</v>
      </c>
      <c r="P482" t="s">
        <v>23</v>
      </c>
      <c r="Q482" t="s">
        <v>29</v>
      </c>
    </row>
    <row r="483" spans="1:17" x14ac:dyDescent="0.35">
      <c r="A483">
        <v>482</v>
      </c>
      <c r="B483" t="s">
        <v>25</v>
      </c>
      <c r="C483">
        <v>15</v>
      </c>
      <c r="D483" t="s">
        <v>39</v>
      </c>
      <c r="E483" t="s">
        <v>35</v>
      </c>
      <c r="F483">
        <v>13</v>
      </c>
      <c r="G483">
        <v>0.92</v>
      </c>
      <c r="H483" t="s">
        <v>31</v>
      </c>
      <c r="I483">
        <v>58344</v>
      </c>
      <c r="J483" t="s">
        <v>21</v>
      </c>
      <c r="K483" t="s">
        <v>21</v>
      </c>
      <c r="L483">
        <v>3.42</v>
      </c>
      <c r="M483">
        <v>4.71</v>
      </c>
      <c r="N483">
        <v>3.56</v>
      </c>
      <c r="O483" t="s">
        <v>34</v>
      </c>
      <c r="P483" t="s">
        <v>23</v>
      </c>
      <c r="Q483" t="s">
        <v>24</v>
      </c>
    </row>
    <row r="484" spans="1:17" x14ac:dyDescent="0.35">
      <c r="A484">
        <v>483</v>
      </c>
      <c r="B484" t="s">
        <v>17</v>
      </c>
      <c r="C484">
        <v>16</v>
      </c>
      <c r="D484" t="s">
        <v>39</v>
      </c>
      <c r="E484" t="s">
        <v>35</v>
      </c>
      <c r="F484">
        <v>28</v>
      </c>
      <c r="G484">
        <v>0.72</v>
      </c>
      <c r="H484" t="s">
        <v>40</v>
      </c>
      <c r="I484">
        <v>10946</v>
      </c>
      <c r="J484" t="s">
        <v>28</v>
      </c>
      <c r="K484" t="s">
        <v>28</v>
      </c>
      <c r="L484">
        <v>4.38</v>
      </c>
      <c r="M484">
        <v>3.59</v>
      </c>
      <c r="N484">
        <v>4.1100000000000003</v>
      </c>
      <c r="O484" t="s">
        <v>34</v>
      </c>
      <c r="P484" t="s">
        <v>32</v>
      </c>
      <c r="Q484" t="s">
        <v>29</v>
      </c>
    </row>
    <row r="485" spans="1:17" x14ac:dyDescent="0.35">
      <c r="A485">
        <v>484</v>
      </c>
      <c r="B485" t="s">
        <v>25</v>
      </c>
      <c r="C485">
        <v>15</v>
      </c>
      <c r="D485" t="s">
        <v>33</v>
      </c>
      <c r="E485" t="s">
        <v>35</v>
      </c>
      <c r="F485">
        <v>9</v>
      </c>
      <c r="G485">
        <v>0.79</v>
      </c>
      <c r="H485" t="s">
        <v>31</v>
      </c>
      <c r="I485">
        <v>24693</v>
      </c>
      <c r="J485" t="s">
        <v>28</v>
      </c>
      <c r="K485" t="s">
        <v>21</v>
      </c>
      <c r="L485">
        <v>4.75</v>
      </c>
      <c r="M485">
        <v>4.88</v>
      </c>
      <c r="N485">
        <v>4.46</v>
      </c>
      <c r="O485" t="s">
        <v>34</v>
      </c>
      <c r="P485" t="s">
        <v>23</v>
      </c>
      <c r="Q485" t="s">
        <v>29</v>
      </c>
    </row>
    <row r="486" spans="1:17" x14ac:dyDescent="0.35">
      <c r="A486">
        <v>485</v>
      </c>
      <c r="B486" t="s">
        <v>17</v>
      </c>
      <c r="C486">
        <v>17</v>
      </c>
      <c r="D486" t="s">
        <v>18</v>
      </c>
      <c r="E486" t="s">
        <v>19</v>
      </c>
      <c r="F486">
        <v>21</v>
      </c>
      <c r="G486">
        <v>0.66</v>
      </c>
      <c r="H486" t="s">
        <v>20</v>
      </c>
      <c r="I486">
        <v>37241</v>
      </c>
      <c r="J486" t="s">
        <v>21</v>
      </c>
      <c r="K486" t="s">
        <v>28</v>
      </c>
      <c r="L486">
        <v>3.58</v>
      </c>
      <c r="M486">
        <v>4.8099999999999996</v>
      </c>
      <c r="N486">
        <v>4.07</v>
      </c>
      <c r="O486" t="s">
        <v>34</v>
      </c>
      <c r="P486" t="s">
        <v>32</v>
      </c>
      <c r="Q486" t="s">
        <v>24</v>
      </c>
    </row>
    <row r="487" spans="1:17" x14ac:dyDescent="0.35">
      <c r="A487">
        <v>486</v>
      </c>
      <c r="B487" t="s">
        <v>25</v>
      </c>
      <c r="C487">
        <v>17</v>
      </c>
      <c r="D487" t="s">
        <v>37</v>
      </c>
      <c r="E487" t="s">
        <v>35</v>
      </c>
      <c r="F487">
        <v>13</v>
      </c>
      <c r="G487">
        <v>0.74</v>
      </c>
      <c r="H487" t="s">
        <v>31</v>
      </c>
      <c r="I487">
        <v>59658</v>
      </c>
      <c r="J487" t="s">
        <v>28</v>
      </c>
      <c r="K487" t="s">
        <v>21</v>
      </c>
      <c r="L487">
        <v>3.16</v>
      </c>
      <c r="M487">
        <v>4.3600000000000003</v>
      </c>
      <c r="N487">
        <v>4.8600000000000003</v>
      </c>
      <c r="O487" t="s">
        <v>22</v>
      </c>
      <c r="P487" t="s">
        <v>23</v>
      </c>
      <c r="Q487" t="s">
        <v>24</v>
      </c>
    </row>
    <row r="488" spans="1:17" x14ac:dyDescent="0.35">
      <c r="A488">
        <v>487</v>
      </c>
      <c r="B488" t="s">
        <v>17</v>
      </c>
      <c r="C488">
        <v>17</v>
      </c>
      <c r="D488" t="s">
        <v>30</v>
      </c>
      <c r="E488" t="s">
        <v>19</v>
      </c>
      <c r="F488">
        <v>21</v>
      </c>
      <c r="G488">
        <v>0.82</v>
      </c>
      <c r="H488" t="s">
        <v>31</v>
      </c>
      <c r="I488">
        <v>40254</v>
      </c>
      <c r="J488" t="s">
        <v>28</v>
      </c>
      <c r="K488" t="s">
        <v>21</v>
      </c>
      <c r="L488">
        <v>3.6</v>
      </c>
      <c r="M488">
        <v>3.51</v>
      </c>
      <c r="N488">
        <v>4.9000000000000004</v>
      </c>
      <c r="O488" t="s">
        <v>22</v>
      </c>
      <c r="P488" t="s">
        <v>32</v>
      </c>
      <c r="Q488" t="s">
        <v>24</v>
      </c>
    </row>
    <row r="489" spans="1:17" x14ac:dyDescent="0.35">
      <c r="A489">
        <v>488</v>
      </c>
      <c r="B489" t="s">
        <v>25</v>
      </c>
      <c r="C489">
        <v>15</v>
      </c>
      <c r="D489" t="s">
        <v>42</v>
      </c>
      <c r="E489" t="s">
        <v>35</v>
      </c>
      <c r="F489">
        <v>28</v>
      </c>
      <c r="G489">
        <v>0.73</v>
      </c>
      <c r="H489" t="s">
        <v>20</v>
      </c>
      <c r="I489">
        <v>25540</v>
      </c>
      <c r="J489" t="s">
        <v>21</v>
      </c>
      <c r="K489" t="s">
        <v>21</v>
      </c>
      <c r="L489">
        <v>4.34</v>
      </c>
      <c r="M489">
        <v>3.89</v>
      </c>
      <c r="N489">
        <v>3.72</v>
      </c>
      <c r="O489" t="s">
        <v>34</v>
      </c>
      <c r="P489" t="s">
        <v>32</v>
      </c>
      <c r="Q489" t="s">
        <v>29</v>
      </c>
    </row>
    <row r="490" spans="1:17" x14ac:dyDescent="0.35">
      <c r="A490">
        <v>489</v>
      </c>
      <c r="B490" t="s">
        <v>17</v>
      </c>
      <c r="C490">
        <v>15</v>
      </c>
      <c r="D490" t="s">
        <v>26</v>
      </c>
      <c r="E490" t="s">
        <v>19</v>
      </c>
      <c r="F490">
        <v>25</v>
      </c>
      <c r="G490">
        <v>0.82</v>
      </c>
      <c r="H490" t="s">
        <v>31</v>
      </c>
      <c r="I490">
        <v>16719</v>
      </c>
      <c r="J490" t="s">
        <v>21</v>
      </c>
      <c r="K490" t="s">
        <v>21</v>
      </c>
      <c r="L490">
        <v>3.66</v>
      </c>
      <c r="M490">
        <v>4.1100000000000003</v>
      </c>
      <c r="N490">
        <v>4.5599999999999996</v>
      </c>
      <c r="O490" t="s">
        <v>22</v>
      </c>
      <c r="P490" t="s">
        <v>32</v>
      </c>
      <c r="Q490" t="s">
        <v>24</v>
      </c>
    </row>
    <row r="491" spans="1:17" x14ac:dyDescent="0.35">
      <c r="A491">
        <v>490</v>
      </c>
      <c r="B491" t="s">
        <v>17</v>
      </c>
      <c r="C491">
        <v>15</v>
      </c>
      <c r="D491" t="s">
        <v>18</v>
      </c>
      <c r="E491" t="s">
        <v>19</v>
      </c>
      <c r="F491">
        <v>23</v>
      </c>
      <c r="G491">
        <v>0.78</v>
      </c>
      <c r="H491" t="s">
        <v>27</v>
      </c>
      <c r="I491">
        <v>51203</v>
      </c>
      <c r="J491" t="s">
        <v>21</v>
      </c>
      <c r="K491" t="s">
        <v>21</v>
      </c>
      <c r="L491">
        <v>3.56</v>
      </c>
      <c r="M491">
        <v>4.1900000000000004</v>
      </c>
      <c r="N491">
        <v>4.4800000000000004</v>
      </c>
      <c r="O491" t="s">
        <v>34</v>
      </c>
      <c r="P491" t="s">
        <v>32</v>
      </c>
      <c r="Q491" t="s">
        <v>24</v>
      </c>
    </row>
    <row r="492" spans="1:17" x14ac:dyDescent="0.35">
      <c r="A492">
        <v>491</v>
      </c>
      <c r="B492" t="s">
        <v>25</v>
      </c>
      <c r="C492">
        <v>15</v>
      </c>
      <c r="D492" t="s">
        <v>37</v>
      </c>
      <c r="E492" t="s">
        <v>35</v>
      </c>
      <c r="F492">
        <v>11</v>
      </c>
      <c r="G492">
        <v>0.88</v>
      </c>
      <c r="H492" t="s">
        <v>40</v>
      </c>
      <c r="I492">
        <v>35081</v>
      </c>
      <c r="J492" t="s">
        <v>21</v>
      </c>
      <c r="K492" t="s">
        <v>21</v>
      </c>
      <c r="L492">
        <v>3.37</v>
      </c>
      <c r="M492">
        <v>3.95</v>
      </c>
      <c r="N492">
        <v>4.79</v>
      </c>
      <c r="O492" t="s">
        <v>22</v>
      </c>
      <c r="P492" t="s">
        <v>23</v>
      </c>
      <c r="Q492" t="s">
        <v>24</v>
      </c>
    </row>
    <row r="493" spans="1:17" x14ac:dyDescent="0.35">
      <c r="A493">
        <v>492</v>
      </c>
      <c r="B493" t="s">
        <v>17</v>
      </c>
      <c r="C493">
        <v>17</v>
      </c>
      <c r="D493" t="s">
        <v>39</v>
      </c>
      <c r="E493" t="s">
        <v>35</v>
      </c>
      <c r="F493">
        <v>27</v>
      </c>
      <c r="G493">
        <v>0.79</v>
      </c>
      <c r="H493" t="s">
        <v>31</v>
      </c>
      <c r="I493">
        <v>21350</v>
      </c>
      <c r="J493" t="s">
        <v>28</v>
      </c>
      <c r="K493" t="s">
        <v>21</v>
      </c>
      <c r="L493">
        <v>4</v>
      </c>
      <c r="M493">
        <v>3.55</v>
      </c>
      <c r="N493">
        <v>3.9</v>
      </c>
      <c r="O493" t="s">
        <v>34</v>
      </c>
      <c r="P493" t="s">
        <v>32</v>
      </c>
      <c r="Q493" t="s">
        <v>29</v>
      </c>
    </row>
    <row r="494" spans="1:17" x14ac:dyDescent="0.35">
      <c r="A494">
        <v>493</v>
      </c>
      <c r="B494" t="s">
        <v>17</v>
      </c>
      <c r="C494">
        <v>17</v>
      </c>
      <c r="D494" t="s">
        <v>33</v>
      </c>
      <c r="E494" t="s">
        <v>19</v>
      </c>
      <c r="F494">
        <v>13</v>
      </c>
      <c r="G494">
        <v>0.88</v>
      </c>
      <c r="H494" t="s">
        <v>20</v>
      </c>
      <c r="I494">
        <v>46358</v>
      </c>
      <c r="J494" t="s">
        <v>21</v>
      </c>
      <c r="K494" t="s">
        <v>21</v>
      </c>
      <c r="L494">
        <v>3.55</v>
      </c>
      <c r="M494">
        <v>4.3899999999999997</v>
      </c>
      <c r="N494">
        <v>4.0599999999999996</v>
      </c>
      <c r="O494" t="s">
        <v>34</v>
      </c>
      <c r="P494" t="s">
        <v>23</v>
      </c>
      <c r="Q494" t="s">
        <v>24</v>
      </c>
    </row>
    <row r="495" spans="1:17" x14ac:dyDescent="0.35">
      <c r="A495">
        <v>494</v>
      </c>
      <c r="B495" t="s">
        <v>25</v>
      </c>
      <c r="C495">
        <v>16</v>
      </c>
      <c r="D495" t="s">
        <v>26</v>
      </c>
      <c r="E495" t="s">
        <v>19</v>
      </c>
      <c r="F495">
        <v>11</v>
      </c>
      <c r="G495">
        <v>0.83</v>
      </c>
      <c r="H495" t="s">
        <v>40</v>
      </c>
      <c r="I495">
        <v>42021</v>
      </c>
      <c r="J495" t="s">
        <v>21</v>
      </c>
      <c r="K495" t="s">
        <v>28</v>
      </c>
      <c r="L495">
        <v>4.46</v>
      </c>
      <c r="M495">
        <v>4.29</v>
      </c>
      <c r="N495">
        <v>3.83</v>
      </c>
      <c r="O495" t="s">
        <v>34</v>
      </c>
      <c r="P495" t="s">
        <v>23</v>
      </c>
      <c r="Q495" t="s">
        <v>29</v>
      </c>
    </row>
    <row r="496" spans="1:17" x14ac:dyDescent="0.35">
      <c r="A496">
        <v>495</v>
      </c>
      <c r="B496" t="s">
        <v>17</v>
      </c>
      <c r="C496">
        <v>16</v>
      </c>
      <c r="D496" t="s">
        <v>39</v>
      </c>
      <c r="E496" t="s">
        <v>35</v>
      </c>
      <c r="F496">
        <v>17</v>
      </c>
      <c r="G496">
        <v>0.77</v>
      </c>
      <c r="H496" t="s">
        <v>20</v>
      </c>
      <c r="I496">
        <v>52832</v>
      </c>
      <c r="J496" t="s">
        <v>21</v>
      </c>
      <c r="K496" t="s">
        <v>21</v>
      </c>
      <c r="L496">
        <v>3.15</v>
      </c>
      <c r="M496">
        <v>3.92</v>
      </c>
      <c r="N496">
        <v>4.7</v>
      </c>
      <c r="O496" t="s">
        <v>22</v>
      </c>
      <c r="P496" t="s">
        <v>32</v>
      </c>
      <c r="Q496" t="s">
        <v>24</v>
      </c>
    </row>
    <row r="497" spans="1:17" x14ac:dyDescent="0.35">
      <c r="A497">
        <v>496</v>
      </c>
      <c r="B497" t="s">
        <v>17</v>
      </c>
      <c r="C497">
        <v>15</v>
      </c>
      <c r="D497" t="s">
        <v>33</v>
      </c>
      <c r="E497" t="s">
        <v>35</v>
      </c>
      <c r="F497">
        <v>15</v>
      </c>
      <c r="G497">
        <v>0.69</v>
      </c>
      <c r="H497" t="s">
        <v>40</v>
      </c>
      <c r="I497">
        <v>38369</v>
      </c>
      <c r="J497" t="s">
        <v>28</v>
      </c>
      <c r="K497" t="s">
        <v>21</v>
      </c>
      <c r="L497">
        <v>4.33</v>
      </c>
      <c r="M497">
        <v>3.56</v>
      </c>
      <c r="N497">
        <v>3.46</v>
      </c>
      <c r="O497" t="s">
        <v>36</v>
      </c>
      <c r="P497" t="s">
        <v>32</v>
      </c>
      <c r="Q497" t="s">
        <v>29</v>
      </c>
    </row>
    <row r="498" spans="1:17" x14ac:dyDescent="0.35">
      <c r="A498">
        <v>497</v>
      </c>
      <c r="B498" t="s">
        <v>17</v>
      </c>
      <c r="C498">
        <v>18</v>
      </c>
      <c r="D498" t="s">
        <v>26</v>
      </c>
      <c r="E498" t="s">
        <v>19</v>
      </c>
      <c r="F498">
        <v>18</v>
      </c>
      <c r="G498">
        <v>0.67</v>
      </c>
      <c r="H498" t="s">
        <v>40</v>
      </c>
      <c r="I498">
        <v>41728</v>
      </c>
      <c r="J498" t="s">
        <v>21</v>
      </c>
      <c r="K498" t="s">
        <v>28</v>
      </c>
      <c r="L498">
        <v>3.48</v>
      </c>
      <c r="M498">
        <v>4.99</v>
      </c>
      <c r="N498">
        <v>3.48</v>
      </c>
      <c r="O498" t="s">
        <v>36</v>
      </c>
      <c r="P498" t="s">
        <v>32</v>
      </c>
      <c r="Q498" t="s">
        <v>38</v>
      </c>
    </row>
    <row r="499" spans="1:17" x14ac:dyDescent="0.35">
      <c r="A499">
        <v>498</v>
      </c>
      <c r="B499" t="s">
        <v>25</v>
      </c>
      <c r="C499">
        <v>18</v>
      </c>
      <c r="D499" t="s">
        <v>42</v>
      </c>
      <c r="E499" t="s">
        <v>35</v>
      </c>
      <c r="F499">
        <v>23</v>
      </c>
      <c r="G499">
        <v>0.85</v>
      </c>
      <c r="H499" t="s">
        <v>31</v>
      </c>
      <c r="I499">
        <v>27576</v>
      </c>
      <c r="J499" t="s">
        <v>28</v>
      </c>
      <c r="K499" t="s">
        <v>21</v>
      </c>
      <c r="L499">
        <v>3.98</v>
      </c>
      <c r="M499">
        <v>4.22</v>
      </c>
      <c r="N499">
        <v>3.75</v>
      </c>
      <c r="O499" t="s">
        <v>34</v>
      </c>
      <c r="P499" t="s">
        <v>32</v>
      </c>
      <c r="Q499" t="s">
        <v>29</v>
      </c>
    </row>
    <row r="500" spans="1:17" x14ac:dyDescent="0.35">
      <c r="A500">
        <v>499</v>
      </c>
      <c r="B500" t="s">
        <v>17</v>
      </c>
      <c r="C500">
        <v>17</v>
      </c>
      <c r="D500" t="s">
        <v>37</v>
      </c>
      <c r="E500" t="s">
        <v>19</v>
      </c>
      <c r="F500">
        <v>15</v>
      </c>
      <c r="G500">
        <v>0.88</v>
      </c>
      <c r="H500" t="s">
        <v>27</v>
      </c>
      <c r="I500">
        <v>39001</v>
      </c>
      <c r="J500" t="s">
        <v>21</v>
      </c>
      <c r="K500" t="s">
        <v>28</v>
      </c>
      <c r="L500">
        <v>3.57</v>
      </c>
      <c r="M500">
        <v>4.63</v>
      </c>
      <c r="N500">
        <v>3.46</v>
      </c>
      <c r="O500" t="s">
        <v>36</v>
      </c>
      <c r="P500" t="s">
        <v>32</v>
      </c>
      <c r="Q500" t="s">
        <v>29</v>
      </c>
    </row>
    <row r="501" spans="1:17" x14ac:dyDescent="0.35">
      <c r="A501">
        <v>500</v>
      </c>
      <c r="B501" t="s">
        <v>25</v>
      </c>
      <c r="C501">
        <v>17</v>
      </c>
      <c r="D501" t="s">
        <v>26</v>
      </c>
      <c r="E501" t="s">
        <v>19</v>
      </c>
      <c r="F501">
        <v>17</v>
      </c>
      <c r="G501">
        <v>0.69</v>
      </c>
      <c r="H501" t="s">
        <v>31</v>
      </c>
      <c r="I501">
        <v>27848</v>
      </c>
      <c r="J501" t="s">
        <v>21</v>
      </c>
      <c r="K501" t="s">
        <v>21</v>
      </c>
      <c r="L501">
        <v>4.45</v>
      </c>
      <c r="M501">
        <v>4.18</v>
      </c>
      <c r="N501">
        <v>4.12</v>
      </c>
      <c r="O501" t="s">
        <v>34</v>
      </c>
      <c r="P501" t="s">
        <v>32</v>
      </c>
      <c r="Q501" t="s">
        <v>29</v>
      </c>
    </row>
    <row r="502" spans="1:17" x14ac:dyDescent="0.35">
      <c r="A502">
        <v>501</v>
      </c>
      <c r="B502" t="s">
        <v>17</v>
      </c>
      <c r="C502">
        <v>17</v>
      </c>
      <c r="D502" t="s">
        <v>30</v>
      </c>
      <c r="E502" t="s">
        <v>35</v>
      </c>
      <c r="F502">
        <v>18</v>
      </c>
      <c r="G502">
        <v>0.76</v>
      </c>
      <c r="H502" t="s">
        <v>20</v>
      </c>
      <c r="I502">
        <v>10390</v>
      </c>
      <c r="J502" t="s">
        <v>28</v>
      </c>
      <c r="K502" t="s">
        <v>28</v>
      </c>
      <c r="L502">
        <v>4.8899999999999997</v>
      </c>
      <c r="M502">
        <v>3.56</v>
      </c>
      <c r="N502">
        <v>3.27</v>
      </c>
      <c r="O502" t="s">
        <v>36</v>
      </c>
      <c r="P502" t="s">
        <v>32</v>
      </c>
      <c r="Q502" t="s">
        <v>29</v>
      </c>
    </row>
    <row r="503" spans="1:17" x14ac:dyDescent="0.35">
      <c r="A503">
        <v>502</v>
      </c>
      <c r="B503" t="s">
        <v>17</v>
      </c>
      <c r="C503">
        <v>16</v>
      </c>
      <c r="D503" t="s">
        <v>18</v>
      </c>
      <c r="E503" t="s">
        <v>35</v>
      </c>
      <c r="F503">
        <v>17</v>
      </c>
      <c r="G503">
        <v>0.61</v>
      </c>
      <c r="H503" t="s">
        <v>20</v>
      </c>
      <c r="I503">
        <v>31999</v>
      </c>
      <c r="J503" t="s">
        <v>21</v>
      </c>
      <c r="K503" t="s">
        <v>28</v>
      </c>
      <c r="L503">
        <v>4.83</v>
      </c>
      <c r="M503">
        <v>3.96</v>
      </c>
      <c r="N503">
        <v>3.64</v>
      </c>
      <c r="O503" t="s">
        <v>34</v>
      </c>
      <c r="P503" t="s">
        <v>32</v>
      </c>
      <c r="Q503" t="s">
        <v>29</v>
      </c>
    </row>
    <row r="504" spans="1:17" x14ac:dyDescent="0.35">
      <c r="A504">
        <v>503</v>
      </c>
      <c r="B504" t="s">
        <v>17</v>
      </c>
      <c r="C504">
        <v>16</v>
      </c>
      <c r="D504" t="s">
        <v>41</v>
      </c>
      <c r="E504" t="s">
        <v>35</v>
      </c>
      <c r="F504">
        <v>5</v>
      </c>
      <c r="G504">
        <v>0.65</v>
      </c>
      <c r="H504" t="s">
        <v>40</v>
      </c>
      <c r="I504">
        <v>55436</v>
      </c>
      <c r="J504" t="s">
        <v>21</v>
      </c>
      <c r="K504" t="s">
        <v>21</v>
      </c>
      <c r="L504">
        <v>4.17</v>
      </c>
      <c r="M504">
        <v>3.98</v>
      </c>
      <c r="N504">
        <v>4.83</v>
      </c>
      <c r="O504" t="s">
        <v>22</v>
      </c>
      <c r="P504" t="s">
        <v>23</v>
      </c>
      <c r="Q504" t="s">
        <v>24</v>
      </c>
    </row>
    <row r="505" spans="1:17" x14ac:dyDescent="0.35">
      <c r="A505">
        <v>504</v>
      </c>
      <c r="B505" t="s">
        <v>25</v>
      </c>
      <c r="C505">
        <v>17</v>
      </c>
      <c r="D505" t="s">
        <v>30</v>
      </c>
      <c r="E505" t="s">
        <v>35</v>
      </c>
      <c r="F505">
        <v>12</v>
      </c>
      <c r="G505">
        <v>0.64</v>
      </c>
      <c r="H505" t="s">
        <v>40</v>
      </c>
      <c r="I505">
        <v>21569</v>
      </c>
      <c r="J505" t="s">
        <v>28</v>
      </c>
      <c r="K505" t="s">
        <v>28</v>
      </c>
      <c r="L505">
        <v>3.93</v>
      </c>
      <c r="M505">
        <v>4.76</v>
      </c>
      <c r="N505">
        <v>3.82</v>
      </c>
      <c r="O505" t="s">
        <v>34</v>
      </c>
      <c r="P505" t="s">
        <v>23</v>
      </c>
      <c r="Q505" t="s">
        <v>29</v>
      </c>
    </row>
    <row r="506" spans="1:17" x14ac:dyDescent="0.35">
      <c r="A506">
        <v>505</v>
      </c>
      <c r="B506" t="s">
        <v>17</v>
      </c>
      <c r="C506">
        <v>17</v>
      </c>
      <c r="D506" t="s">
        <v>30</v>
      </c>
      <c r="E506" t="s">
        <v>35</v>
      </c>
      <c r="F506">
        <v>16</v>
      </c>
      <c r="G506">
        <v>0.87</v>
      </c>
      <c r="H506" t="s">
        <v>27</v>
      </c>
      <c r="I506">
        <v>23029</v>
      </c>
      <c r="J506" t="s">
        <v>21</v>
      </c>
      <c r="K506" t="s">
        <v>21</v>
      </c>
      <c r="L506">
        <v>4.6399999999999997</v>
      </c>
      <c r="M506">
        <v>4.4800000000000004</v>
      </c>
      <c r="N506">
        <v>4.5</v>
      </c>
      <c r="O506" t="s">
        <v>22</v>
      </c>
      <c r="P506" t="s">
        <v>32</v>
      </c>
      <c r="Q506" t="s">
        <v>29</v>
      </c>
    </row>
    <row r="507" spans="1:17" x14ac:dyDescent="0.35">
      <c r="A507">
        <v>506</v>
      </c>
      <c r="B507" t="s">
        <v>17</v>
      </c>
      <c r="C507">
        <v>17</v>
      </c>
      <c r="D507" t="s">
        <v>18</v>
      </c>
      <c r="E507" t="s">
        <v>19</v>
      </c>
      <c r="F507">
        <v>23</v>
      </c>
      <c r="G507">
        <v>0.64</v>
      </c>
      <c r="H507" t="s">
        <v>31</v>
      </c>
      <c r="I507">
        <v>32490</v>
      </c>
      <c r="J507" t="s">
        <v>21</v>
      </c>
      <c r="K507" t="s">
        <v>21</v>
      </c>
      <c r="L507">
        <v>4.37</v>
      </c>
      <c r="M507">
        <v>3.91</v>
      </c>
      <c r="N507">
        <v>3.23</v>
      </c>
      <c r="O507" t="s">
        <v>36</v>
      </c>
      <c r="P507" t="s">
        <v>32</v>
      </c>
      <c r="Q507" t="s">
        <v>29</v>
      </c>
    </row>
    <row r="508" spans="1:17" x14ac:dyDescent="0.35">
      <c r="A508">
        <v>507</v>
      </c>
      <c r="B508" t="s">
        <v>25</v>
      </c>
      <c r="C508">
        <v>18</v>
      </c>
      <c r="D508" t="s">
        <v>41</v>
      </c>
      <c r="E508" t="s">
        <v>19</v>
      </c>
      <c r="F508">
        <v>16</v>
      </c>
      <c r="G508">
        <v>0.77</v>
      </c>
      <c r="H508" t="s">
        <v>20</v>
      </c>
      <c r="I508">
        <v>55875</v>
      </c>
      <c r="J508" t="s">
        <v>21</v>
      </c>
      <c r="K508" t="s">
        <v>21</v>
      </c>
      <c r="L508">
        <v>3.37</v>
      </c>
      <c r="M508">
        <v>4.95</v>
      </c>
      <c r="N508">
        <v>3.5</v>
      </c>
      <c r="O508" t="s">
        <v>34</v>
      </c>
      <c r="P508" t="s">
        <v>32</v>
      </c>
      <c r="Q508" t="s">
        <v>24</v>
      </c>
    </row>
    <row r="509" spans="1:17" x14ac:dyDescent="0.35">
      <c r="A509">
        <v>508</v>
      </c>
      <c r="B509" t="s">
        <v>17</v>
      </c>
      <c r="C509">
        <v>16</v>
      </c>
      <c r="D509" t="s">
        <v>30</v>
      </c>
      <c r="E509" t="s">
        <v>35</v>
      </c>
      <c r="F509">
        <v>12</v>
      </c>
      <c r="G509">
        <v>0.85</v>
      </c>
      <c r="H509" t="s">
        <v>40</v>
      </c>
      <c r="I509">
        <v>45328</v>
      </c>
      <c r="J509" t="s">
        <v>21</v>
      </c>
      <c r="K509" t="s">
        <v>21</v>
      </c>
      <c r="L509">
        <v>4.6399999999999997</v>
      </c>
      <c r="M509">
        <v>3.98</v>
      </c>
      <c r="N509">
        <v>4.6100000000000003</v>
      </c>
      <c r="O509" t="s">
        <v>22</v>
      </c>
      <c r="P509" t="s">
        <v>23</v>
      </c>
      <c r="Q509" t="s">
        <v>29</v>
      </c>
    </row>
    <row r="510" spans="1:17" x14ac:dyDescent="0.35">
      <c r="A510">
        <v>509</v>
      </c>
      <c r="B510" t="s">
        <v>25</v>
      </c>
      <c r="C510">
        <v>18</v>
      </c>
      <c r="D510" t="s">
        <v>26</v>
      </c>
      <c r="E510" t="s">
        <v>35</v>
      </c>
      <c r="F510">
        <v>12</v>
      </c>
      <c r="G510">
        <v>0.79</v>
      </c>
      <c r="H510" t="s">
        <v>27</v>
      </c>
      <c r="I510">
        <v>15867</v>
      </c>
      <c r="J510" t="s">
        <v>28</v>
      </c>
      <c r="K510" t="s">
        <v>28</v>
      </c>
      <c r="L510">
        <v>3.86</v>
      </c>
      <c r="M510">
        <v>5</v>
      </c>
      <c r="N510">
        <v>4.53</v>
      </c>
      <c r="O510" t="s">
        <v>22</v>
      </c>
      <c r="P510" t="s">
        <v>23</v>
      </c>
      <c r="Q510" t="s">
        <v>24</v>
      </c>
    </row>
    <row r="511" spans="1:17" x14ac:dyDescent="0.35">
      <c r="A511">
        <v>510</v>
      </c>
      <c r="B511" t="s">
        <v>25</v>
      </c>
      <c r="C511">
        <v>18</v>
      </c>
      <c r="D511" t="s">
        <v>26</v>
      </c>
      <c r="E511" t="s">
        <v>35</v>
      </c>
      <c r="F511">
        <v>25</v>
      </c>
      <c r="G511">
        <v>0.86</v>
      </c>
      <c r="H511" t="s">
        <v>20</v>
      </c>
      <c r="I511">
        <v>25284</v>
      </c>
      <c r="J511" t="s">
        <v>21</v>
      </c>
      <c r="K511" t="s">
        <v>21</v>
      </c>
      <c r="L511">
        <v>3.38</v>
      </c>
      <c r="M511">
        <v>4.99</v>
      </c>
      <c r="N511">
        <v>3.77</v>
      </c>
      <c r="O511" t="s">
        <v>34</v>
      </c>
      <c r="P511" t="s">
        <v>32</v>
      </c>
      <c r="Q511" t="s">
        <v>24</v>
      </c>
    </row>
    <row r="512" spans="1:17" x14ac:dyDescent="0.35">
      <c r="A512">
        <v>511</v>
      </c>
      <c r="B512" t="s">
        <v>17</v>
      </c>
      <c r="C512">
        <v>17</v>
      </c>
      <c r="D512" t="s">
        <v>26</v>
      </c>
      <c r="E512" t="s">
        <v>19</v>
      </c>
      <c r="F512">
        <v>17</v>
      </c>
      <c r="G512">
        <v>0.71</v>
      </c>
      <c r="H512" t="s">
        <v>40</v>
      </c>
      <c r="I512">
        <v>43979</v>
      </c>
      <c r="J512" t="s">
        <v>28</v>
      </c>
      <c r="K512" t="s">
        <v>28</v>
      </c>
      <c r="L512">
        <v>3.56</v>
      </c>
      <c r="M512">
        <v>3.79</v>
      </c>
      <c r="N512">
        <v>4.91</v>
      </c>
      <c r="O512" t="s">
        <v>22</v>
      </c>
      <c r="P512" t="s">
        <v>32</v>
      </c>
      <c r="Q512" t="s">
        <v>24</v>
      </c>
    </row>
    <row r="513" spans="1:17" x14ac:dyDescent="0.35">
      <c r="A513">
        <v>512</v>
      </c>
      <c r="B513" t="s">
        <v>25</v>
      </c>
      <c r="C513">
        <v>17</v>
      </c>
      <c r="D513" t="s">
        <v>41</v>
      </c>
      <c r="E513" t="s">
        <v>35</v>
      </c>
      <c r="F513">
        <v>16</v>
      </c>
      <c r="G513">
        <v>0.66</v>
      </c>
      <c r="H513" t="s">
        <v>20</v>
      </c>
      <c r="I513">
        <v>19121</v>
      </c>
      <c r="J513" t="s">
        <v>21</v>
      </c>
      <c r="K513" t="s">
        <v>28</v>
      </c>
      <c r="L513">
        <v>3.54</v>
      </c>
      <c r="M513">
        <v>3.97</v>
      </c>
      <c r="N513">
        <v>4.82</v>
      </c>
      <c r="O513" t="s">
        <v>22</v>
      </c>
      <c r="P513" t="s">
        <v>32</v>
      </c>
      <c r="Q513" t="s">
        <v>24</v>
      </c>
    </row>
    <row r="514" spans="1:17" x14ac:dyDescent="0.35">
      <c r="A514">
        <v>513</v>
      </c>
      <c r="B514" t="s">
        <v>17</v>
      </c>
      <c r="C514">
        <v>15</v>
      </c>
      <c r="D514" t="s">
        <v>30</v>
      </c>
      <c r="E514" t="s">
        <v>35</v>
      </c>
      <c r="F514">
        <v>20</v>
      </c>
      <c r="G514">
        <v>0.62</v>
      </c>
      <c r="H514" t="s">
        <v>27</v>
      </c>
      <c r="I514">
        <v>11539</v>
      </c>
      <c r="J514" t="s">
        <v>28</v>
      </c>
      <c r="K514" t="s">
        <v>21</v>
      </c>
      <c r="L514">
        <v>4.04</v>
      </c>
      <c r="M514">
        <v>4.2300000000000004</v>
      </c>
      <c r="N514">
        <v>4.92</v>
      </c>
      <c r="O514" t="s">
        <v>22</v>
      </c>
      <c r="P514" t="s">
        <v>32</v>
      </c>
      <c r="Q514" t="s">
        <v>24</v>
      </c>
    </row>
    <row r="515" spans="1:17" x14ac:dyDescent="0.35">
      <c r="A515">
        <v>514</v>
      </c>
      <c r="B515" t="s">
        <v>25</v>
      </c>
      <c r="C515">
        <v>15</v>
      </c>
      <c r="D515" t="s">
        <v>33</v>
      </c>
      <c r="E515" t="s">
        <v>19</v>
      </c>
      <c r="F515">
        <v>5</v>
      </c>
      <c r="G515">
        <v>0.69</v>
      </c>
      <c r="H515" t="s">
        <v>27</v>
      </c>
      <c r="I515">
        <v>35488</v>
      </c>
      <c r="J515" t="s">
        <v>21</v>
      </c>
      <c r="K515" t="s">
        <v>21</v>
      </c>
      <c r="L515">
        <v>3.47</v>
      </c>
      <c r="M515">
        <v>4.5</v>
      </c>
      <c r="N515">
        <v>3.86</v>
      </c>
      <c r="O515" t="s">
        <v>34</v>
      </c>
      <c r="P515" t="s">
        <v>23</v>
      </c>
      <c r="Q515" t="s">
        <v>24</v>
      </c>
    </row>
    <row r="516" spans="1:17" x14ac:dyDescent="0.35">
      <c r="A516">
        <v>515</v>
      </c>
      <c r="B516" t="s">
        <v>25</v>
      </c>
      <c r="C516">
        <v>18</v>
      </c>
      <c r="D516" t="s">
        <v>41</v>
      </c>
      <c r="E516" t="s">
        <v>19</v>
      </c>
      <c r="F516">
        <v>17</v>
      </c>
      <c r="G516">
        <v>0.93</v>
      </c>
      <c r="H516" t="s">
        <v>20</v>
      </c>
      <c r="I516">
        <v>27027</v>
      </c>
      <c r="J516" t="s">
        <v>28</v>
      </c>
      <c r="K516" t="s">
        <v>21</v>
      </c>
      <c r="L516">
        <v>3.25</v>
      </c>
      <c r="M516">
        <v>4.29</v>
      </c>
      <c r="N516">
        <v>3.39</v>
      </c>
      <c r="O516" t="s">
        <v>36</v>
      </c>
      <c r="P516" t="s">
        <v>32</v>
      </c>
      <c r="Q516" t="s">
        <v>24</v>
      </c>
    </row>
    <row r="517" spans="1:17" x14ac:dyDescent="0.35">
      <c r="A517">
        <v>516</v>
      </c>
      <c r="B517" t="s">
        <v>17</v>
      </c>
      <c r="C517">
        <v>16</v>
      </c>
      <c r="D517" t="s">
        <v>26</v>
      </c>
      <c r="E517" t="s">
        <v>35</v>
      </c>
      <c r="F517">
        <v>11</v>
      </c>
      <c r="G517">
        <v>0.84</v>
      </c>
      <c r="H517" t="s">
        <v>31</v>
      </c>
      <c r="I517">
        <v>18693</v>
      </c>
      <c r="J517" t="s">
        <v>21</v>
      </c>
      <c r="K517" t="s">
        <v>21</v>
      </c>
      <c r="L517">
        <v>3.25</v>
      </c>
      <c r="M517">
        <v>4.95</v>
      </c>
      <c r="N517">
        <v>4.25</v>
      </c>
      <c r="O517" t="s">
        <v>34</v>
      </c>
      <c r="P517" t="s">
        <v>23</v>
      </c>
      <c r="Q517" t="s">
        <v>24</v>
      </c>
    </row>
    <row r="518" spans="1:17" x14ac:dyDescent="0.35">
      <c r="A518">
        <v>517</v>
      </c>
      <c r="B518" t="s">
        <v>25</v>
      </c>
      <c r="C518">
        <v>17</v>
      </c>
      <c r="D518" t="s">
        <v>18</v>
      </c>
      <c r="E518" t="s">
        <v>35</v>
      </c>
      <c r="F518">
        <v>9</v>
      </c>
      <c r="G518">
        <v>0.94</v>
      </c>
      <c r="H518" t="s">
        <v>20</v>
      </c>
      <c r="I518">
        <v>18921</v>
      </c>
      <c r="J518" t="s">
        <v>28</v>
      </c>
      <c r="K518" t="s">
        <v>28</v>
      </c>
      <c r="L518">
        <v>4.17</v>
      </c>
      <c r="M518">
        <v>4.59</v>
      </c>
      <c r="N518">
        <v>4.37</v>
      </c>
      <c r="O518" t="s">
        <v>34</v>
      </c>
      <c r="P518" t="s">
        <v>23</v>
      </c>
      <c r="Q518" t="s">
        <v>24</v>
      </c>
    </row>
    <row r="519" spans="1:17" x14ac:dyDescent="0.35">
      <c r="A519">
        <v>518</v>
      </c>
      <c r="B519" t="s">
        <v>25</v>
      </c>
      <c r="C519">
        <v>17</v>
      </c>
      <c r="D519" t="s">
        <v>30</v>
      </c>
      <c r="E519" t="s">
        <v>35</v>
      </c>
      <c r="F519">
        <v>12</v>
      </c>
      <c r="G519">
        <v>0.75</v>
      </c>
      <c r="H519" t="s">
        <v>40</v>
      </c>
      <c r="I519">
        <v>20310</v>
      </c>
      <c r="J519" t="s">
        <v>28</v>
      </c>
      <c r="K519" t="s">
        <v>21</v>
      </c>
      <c r="L519">
        <v>4.47</v>
      </c>
      <c r="M519">
        <v>3.82</v>
      </c>
      <c r="N519">
        <v>3.25</v>
      </c>
      <c r="O519" t="s">
        <v>36</v>
      </c>
      <c r="P519" t="s">
        <v>23</v>
      </c>
      <c r="Q519" t="s">
        <v>29</v>
      </c>
    </row>
    <row r="520" spans="1:17" x14ac:dyDescent="0.35">
      <c r="A520">
        <v>519</v>
      </c>
      <c r="B520" t="s">
        <v>25</v>
      </c>
      <c r="C520">
        <v>18</v>
      </c>
      <c r="D520" t="s">
        <v>30</v>
      </c>
      <c r="E520" t="s">
        <v>19</v>
      </c>
      <c r="F520">
        <v>29</v>
      </c>
      <c r="G520">
        <v>0.61</v>
      </c>
      <c r="H520" t="s">
        <v>31</v>
      </c>
      <c r="I520">
        <v>55512</v>
      </c>
      <c r="J520" t="s">
        <v>21</v>
      </c>
      <c r="K520" t="s">
        <v>28</v>
      </c>
      <c r="L520">
        <v>3.64</v>
      </c>
      <c r="M520">
        <v>3.66</v>
      </c>
      <c r="N520">
        <v>4.57</v>
      </c>
      <c r="O520" t="s">
        <v>22</v>
      </c>
      <c r="P520" t="s">
        <v>32</v>
      </c>
      <c r="Q520" t="s">
        <v>24</v>
      </c>
    </row>
    <row r="521" spans="1:17" x14ac:dyDescent="0.35">
      <c r="A521">
        <v>520</v>
      </c>
      <c r="B521" t="s">
        <v>25</v>
      </c>
      <c r="C521">
        <v>15</v>
      </c>
      <c r="D521" t="s">
        <v>39</v>
      </c>
      <c r="E521" t="s">
        <v>35</v>
      </c>
      <c r="F521">
        <v>18</v>
      </c>
      <c r="G521">
        <v>0.83</v>
      </c>
      <c r="H521" t="s">
        <v>40</v>
      </c>
      <c r="I521">
        <v>40908</v>
      </c>
      <c r="J521" t="s">
        <v>28</v>
      </c>
      <c r="K521" t="s">
        <v>21</v>
      </c>
      <c r="L521">
        <v>3.07</v>
      </c>
      <c r="M521">
        <v>4.53</v>
      </c>
      <c r="N521">
        <v>3.04</v>
      </c>
      <c r="O521" t="s">
        <v>36</v>
      </c>
      <c r="P521" t="s">
        <v>32</v>
      </c>
      <c r="Q521" t="s">
        <v>29</v>
      </c>
    </row>
    <row r="522" spans="1:17" x14ac:dyDescent="0.35">
      <c r="A522">
        <v>521</v>
      </c>
      <c r="B522" t="s">
        <v>25</v>
      </c>
      <c r="C522">
        <v>16</v>
      </c>
      <c r="D522" t="s">
        <v>39</v>
      </c>
      <c r="E522" t="s">
        <v>35</v>
      </c>
      <c r="F522">
        <v>27</v>
      </c>
      <c r="G522">
        <v>0.69</v>
      </c>
      <c r="H522" t="s">
        <v>20</v>
      </c>
      <c r="I522">
        <v>14386</v>
      </c>
      <c r="J522" t="s">
        <v>21</v>
      </c>
      <c r="K522" t="s">
        <v>21</v>
      </c>
      <c r="L522">
        <v>3.25</v>
      </c>
      <c r="M522">
        <v>3.74</v>
      </c>
      <c r="N522">
        <v>3.97</v>
      </c>
      <c r="O522" t="s">
        <v>34</v>
      </c>
      <c r="P522" t="s">
        <v>32</v>
      </c>
      <c r="Q522" t="s">
        <v>24</v>
      </c>
    </row>
    <row r="523" spans="1:17" x14ac:dyDescent="0.35">
      <c r="A523">
        <v>522</v>
      </c>
      <c r="B523" t="s">
        <v>17</v>
      </c>
      <c r="C523">
        <v>15</v>
      </c>
      <c r="D523" t="s">
        <v>42</v>
      </c>
      <c r="E523" t="s">
        <v>35</v>
      </c>
      <c r="F523">
        <v>17</v>
      </c>
      <c r="G523">
        <v>0.97</v>
      </c>
      <c r="H523" t="s">
        <v>31</v>
      </c>
      <c r="I523">
        <v>42263</v>
      </c>
      <c r="J523" t="s">
        <v>21</v>
      </c>
      <c r="K523" t="s">
        <v>21</v>
      </c>
      <c r="L523">
        <v>4.83</v>
      </c>
      <c r="M523">
        <v>4.68</v>
      </c>
      <c r="N523">
        <v>3.66</v>
      </c>
      <c r="O523" t="s">
        <v>34</v>
      </c>
      <c r="P523" t="s">
        <v>32</v>
      </c>
      <c r="Q523" t="s">
        <v>29</v>
      </c>
    </row>
    <row r="524" spans="1:17" x14ac:dyDescent="0.35">
      <c r="A524">
        <v>523</v>
      </c>
      <c r="B524" t="s">
        <v>25</v>
      </c>
      <c r="C524">
        <v>15</v>
      </c>
      <c r="D524" t="s">
        <v>33</v>
      </c>
      <c r="E524" t="s">
        <v>19</v>
      </c>
      <c r="F524">
        <v>19</v>
      </c>
      <c r="G524">
        <v>0.81</v>
      </c>
      <c r="H524" t="s">
        <v>40</v>
      </c>
      <c r="I524">
        <v>38412</v>
      </c>
      <c r="J524" t="s">
        <v>21</v>
      </c>
      <c r="K524" t="s">
        <v>21</v>
      </c>
      <c r="L524">
        <v>3.99</v>
      </c>
      <c r="M524">
        <v>3.97</v>
      </c>
      <c r="N524">
        <v>4.4800000000000004</v>
      </c>
      <c r="O524" t="s">
        <v>34</v>
      </c>
      <c r="P524" t="s">
        <v>32</v>
      </c>
      <c r="Q524" t="s">
        <v>24</v>
      </c>
    </row>
    <row r="525" spans="1:17" x14ac:dyDescent="0.35">
      <c r="A525">
        <v>524</v>
      </c>
      <c r="B525" t="s">
        <v>17</v>
      </c>
      <c r="C525">
        <v>15</v>
      </c>
      <c r="D525" t="s">
        <v>33</v>
      </c>
      <c r="E525" t="s">
        <v>19</v>
      </c>
      <c r="F525">
        <v>27</v>
      </c>
      <c r="G525">
        <v>0.85</v>
      </c>
      <c r="H525" t="s">
        <v>20</v>
      </c>
      <c r="I525">
        <v>27303</v>
      </c>
      <c r="J525" t="s">
        <v>21</v>
      </c>
      <c r="K525" t="s">
        <v>28</v>
      </c>
      <c r="L525">
        <v>3.91</v>
      </c>
      <c r="M525">
        <v>3.99</v>
      </c>
      <c r="N525">
        <v>3.63</v>
      </c>
      <c r="O525" t="s">
        <v>34</v>
      </c>
      <c r="P525" t="s">
        <v>32</v>
      </c>
      <c r="Q525" t="s">
        <v>29</v>
      </c>
    </row>
    <row r="526" spans="1:17" x14ac:dyDescent="0.35">
      <c r="A526">
        <v>525</v>
      </c>
      <c r="B526" t="s">
        <v>25</v>
      </c>
      <c r="C526">
        <v>15</v>
      </c>
      <c r="D526" t="s">
        <v>37</v>
      </c>
      <c r="E526" t="s">
        <v>35</v>
      </c>
      <c r="F526">
        <v>21</v>
      </c>
      <c r="G526">
        <v>0.98</v>
      </c>
      <c r="H526" t="s">
        <v>20</v>
      </c>
      <c r="I526">
        <v>22242</v>
      </c>
      <c r="J526" t="s">
        <v>21</v>
      </c>
      <c r="K526" t="s">
        <v>28</v>
      </c>
      <c r="L526">
        <v>3.08</v>
      </c>
      <c r="M526">
        <v>3.52</v>
      </c>
      <c r="N526">
        <v>4.6500000000000004</v>
      </c>
      <c r="O526" t="s">
        <v>22</v>
      </c>
      <c r="P526" t="s">
        <v>32</v>
      </c>
      <c r="Q526" t="s">
        <v>24</v>
      </c>
    </row>
    <row r="527" spans="1:17" x14ac:dyDescent="0.35">
      <c r="A527">
        <v>526</v>
      </c>
      <c r="B527" t="s">
        <v>17</v>
      </c>
      <c r="C527">
        <v>17</v>
      </c>
      <c r="D527" t="s">
        <v>33</v>
      </c>
      <c r="E527" t="s">
        <v>35</v>
      </c>
      <c r="F527">
        <v>19</v>
      </c>
      <c r="G527">
        <v>0.86</v>
      </c>
      <c r="H527" t="s">
        <v>31</v>
      </c>
      <c r="I527">
        <v>57025</v>
      </c>
      <c r="J527" t="s">
        <v>28</v>
      </c>
      <c r="K527" t="s">
        <v>21</v>
      </c>
      <c r="L527">
        <v>4.46</v>
      </c>
      <c r="M527">
        <v>4.55</v>
      </c>
      <c r="N527">
        <v>4.1900000000000004</v>
      </c>
      <c r="O527" t="s">
        <v>34</v>
      </c>
      <c r="P527" t="s">
        <v>32</v>
      </c>
      <c r="Q527" t="s">
        <v>29</v>
      </c>
    </row>
    <row r="528" spans="1:17" x14ac:dyDescent="0.35">
      <c r="A528">
        <v>527</v>
      </c>
      <c r="B528" t="s">
        <v>17</v>
      </c>
      <c r="C528">
        <v>17</v>
      </c>
      <c r="D528" t="s">
        <v>39</v>
      </c>
      <c r="E528" t="s">
        <v>19</v>
      </c>
      <c r="F528">
        <v>24</v>
      </c>
      <c r="G528">
        <v>0.88</v>
      </c>
      <c r="H528" t="s">
        <v>20</v>
      </c>
      <c r="I528">
        <v>18947</v>
      </c>
      <c r="J528" t="s">
        <v>21</v>
      </c>
      <c r="K528" t="s">
        <v>28</v>
      </c>
      <c r="L528">
        <v>4.0599999999999996</v>
      </c>
      <c r="M528">
        <v>3.67</v>
      </c>
      <c r="N528">
        <v>4.59</v>
      </c>
      <c r="O528" t="s">
        <v>22</v>
      </c>
      <c r="P528" t="s">
        <v>32</v>
      </c>
      <c r="Q528" t="s">
        <v>24</v>
      </c>
    </row>
    <row r="529" spans="1:17" x14ac:dyDescent="0.35">
      <c r="A529">
        <v>528</v>
      </c>
      <c r="B529" t="s">
        <v>25</v>
      </c>
      <c r="C529">
        <v>15</v>
      </c>
      <c r="D529" t="s">
        <v>41</v>
      </c>
      <c r="E529" t="s">
        <v>19</v>
      </c>
      <c r="F529">
        <v>22</v>
      </c>
      <c r="G529">
        <v>0.97</v>
      </c>
      <c r="H529" t="s">
        <v>27</v>
      </c>
      <c r="I529">
        <v>56714</v>
      </c>
      <c r="J529" t="s">
        <v>21</v>
      </c>
      <c r="K529" t="s">
        <v>28</v>
      </c>
      <c r="L529">
        <v>3.4</v>
      </c>
      <c r="M529">
        <v>4.66</v>
      </c>
      <c r="N529">
        <v>4.9800000000000004</v>
      </c>
      <c r="O529" t="s">
        <v>22</v>
      </c>
      <c r="P529" t="s">
        <v>32</v>
      </c>
      <c r="Q529" t="s">
        <v>24</v>
      </c>
    </row>
    <row r="530" spans="1:17" x14ac:dyDescent="0.35">
      <c r="A530">
        <v>529</v>
      </c>
      <c r="B530" t="s">
        <v>25</v>
      </c>
      <c r="C530">
        <v>16</v>
      </c>
      <c r="D530" t="s">
        <v>33</v>
      </c>
      <c r="E530" t="s">
        <v>19</v>
      </c>
      <c r="F530">
        <v>22</v>
      </c>
      <c r="G530">
        <v>0.79</v>
      </c>
      <c r="H530" t="s">
        <v>40</v>
      </c>
      <c r="I530">
        <v>15930</v>
      </c>
      <c r="J530" t="s">
        <v>21</v>
      </c>
      <c r="K530" t="s">
        <v>21</v>
      </c>
      <c r="L530">
        <v>3.22</v>
      </c>
      <c r="M530">
        <v>4.24</v>
      </c>
      <c r="N530">
        <v>4.3600000000000003</v>
      </c>
      <c r="O530" t="s">
        <v>34</v>
      </c>
      <c r="P530" t="s">
        <v>32</v>
      </c>
      <c r="Q530" t="s">
        <v>24</v>
      </c>
    </row>
    <row r="531" spans="1:17" x14ac:dyDescent="0.35">
      <c r="A531">
        <v>530</v>
      </c>
      <c r="B531" t="s">
        <v>25</v>
      </c>
      <c r="C531">
        <v>18</v>
      </c>
      <c r="D531" t="s">
        <v>39</v>
      </c>
      <c r="E531" t="s">
        <v>19</v>
      </c>
      <c r="F531">
        <v>6</v>
      </c>
      <c r="G531">
        <v>0.86</v>
      </c>
      <c r="H531" t="s">
        <v>40</v>
      </c>
      <c r="I531">
        <v>48170</v>
      </c>
      <c r="J531" t="s">
        <v>21</v>
      </c>
      <c r="K531" t="s">
        <v>21</v>
      </c>
      <c r="L531">
        <v>3.77</v>
      </c>
      <c r="M531">
        <v>4.68</v>
      </c>
      <c r="N531">
        <v>4.97</v>
      </c>
      <c r="O531" t="s">
        <v>22</v>
      </c>
      <c r="P531" t="s">
        <v>23</v>
      </c>
      <c r="Q531" t="s">
        <v>24</v>
      </c>
    </row>
    <row r="532" spans="1:17" x14ac:dyDescent="0.35">
      <c r="A532">
        <v>531</v>
      </c>
      <c r="B532" t="s">
        <v>17</v>
      </c>
      <c r="C532">
        <v>16</v>
      </c>
      <c r="D532" t="s">
        <v>42</v>
      </c>
      <c r="E532" t="s">
        <v>19</v>
      </c>
      <c r="F532">
        <v>8</v>
      </c>
      <c r="G532">
        <v>0.79</v>
      </c>
      <c r="H532" t="s">
        <v>20</v>
      </c>
      <c r="I532">
        <v>58785</v>
      </c>
      <c r="J532" t="s">
        <v>21</v>
      </c>
      <c r="K532" t="s">
        <v>28</v>
      </c>
      <c r="L532">
        <v>4.67</v>
      </c>
      <c r="M532">
        <v>4.38</v>
      </c>
      <c r="N532">
        <v>3.06</v>
      </c>
      <c r="O532" t="s">
        <v>36</v>
      </c>
      <c r="P532" t="s">
        <v>23</v>
      </c>
      <c r="Q532" t="s">
        <v>29</v>
      </c>
    </row>
    <row r="533" spans="1:17" x14ac:dyDescent="0.35">
      <c r="A533">
        <v>532</v>
      </c>
      <c r="B533" t="s">
        <v>25</v>
      </c>
      <c r="C533">
        <v>16</v>
      </c>
      <c r="D533" t="s">
        <v>30</v>
      </c>
      <c r="E533" t="s">
        <v>19</v>
      </c>
      <c r="F533">
        <v>5</v>
      </c>
      <c r="G533">
        <v>0.78</v>
      </c>
      <c r="H533" t="s">
        <v>20</v>
      </c>
      <c r="I533">
        <v>10507</v>
      </c>
      <c r="J533" t="s">
        <v>21</v>
      </c>
      <c r="K533" t="s">
        <v>28</v>
      </c>
      <c r="L533">
        <v>4.7300000000000004</v>
      </c>
      <c r="M533">
        <v>3.62</v>
      </c>
      <c r="N533">
        <v>3.68</v>
      </c>
      <c r="O533" t="s">
        <v>34</v>
      </c>
      <c r="P533" t="s">
        <v>23</v>
      </c>
      <c r="Q533" t="s">
        <v>29</v>
      </c>
    </row>
    <row r="534" spans="1:17" x14ac:dyDescent="0.35">
      <c r="A534">
        <v>533</v>
      </c>
      <c r="B534" t="s">
        <v>17</v>
      </c>
      <c r="C534">
        <v>16</v>
      </c>
      <c r="D534" t="s">
        <v>33</v>
      </c>
      <c r="E534" t="s">
        <v>19</v>
      </c>
      <c r="F534">
        <v>8</v>
      </c>
      <c r="G534">
        <v>0.79</v>
      </c>
      <c r="H534" t="s">
        <v>27</v>
      </c>
      <c r="I534">
        <v>11436</v>
      </c>
      <c r="J534" t="s">
        <v>28</v>
      </c>
      <c r="K534" t="s">
        <v>28</v>
      </c>
      <c r="L534">
        <v>4.21</v>
      </c>
      <c r="M534">
        <v>4.6500000000000004</v>
      </c>
      <c r="N534">
        <v>3.22</v>
      </c>
      <c r="O534" t="s">
        <v>36</v>
      </c>
      <c r="P534" t="s">
        <v>23</v>
      </c>
      <c r="Q534" t="s">
        <v>29</v>
      </c>
    </row>
    <row r="535" spans="1:17" x14ac:dyDescent="0.35">
      <c r="A535">
        <v>534</v>
      </c>
      <c r="B535" t="s">
        <v>17</v>
      </c>
      <c r="C535">
        <v>15</v>
      </c>
      <c r="D535" t="s">
        <v>42</v>
      </c>
      <c r="E535" t="s">
        <v>19</v>
      </c>
      <c r="F535">
        <v>22</v>
      </c>
      <c r="G535">
        <v>0.94</v>
      </c>
      <c r="H535" t="s">
        <v>31</v>
      </c>
      <c r="I535">
        <v>37151</v>
      </c>
      <c r="J535" t="s">
        <v>28</v>
      </c>
      <c r="K535" t="s">
        <v>28</v>
      </c>
      <c r="L535">
        <v>4.46</v>
      </c>
      <c r="M535">
        <v>3.6</v>
      </c>
      <c r="N535">
        <v>3.52</v>
      </c>
      <c r="O535" t="s">
        <v>34</v>
      </c>
      <c r="P535" t="s">
        <v>32</v>
      </c>
      <c r="Q535" t="s">
        <v>29</v>
      </c>
    </row>
    <row r="536" spans="1:17" x14ac:dyDescent="0.35">
      <c r="A536">
        <v>535</v>
      </c>
      <c r="B536" t="s">
        <v>17</v>
      </c>
      <c r="C536">
        <v>17</v>
      </c>
      <c r="D536" t="s">
        <v>30</v>
      </c>
      <c r="E536" t="s">
        <v>19</v>
      </c>
      <c r="F536">
        <v>9</v>
      </c>
      <c r="G536">
        <v>0.61</v>
      </c>
      <c r="H536" t="s">
        <v>20</v>
      </c>
      <c r="I536">
        <v>21618</v>
      </c>
      <c r="J536" t="s">
        <v>21</v>
      </c>
      <c r="K536" t="s">
        <v>21</v>
      </c>
      <c r="L536">
        <v>3.23</v>
      </c>
      <c r="M536">
        <v>4.22</v>
      </c>
      <c r="N536">
        <v>4.68</v>
      </c>
      <c r="O536" t="s">
        <v>22</v>
      </c>
      <c r="P536" t="s">
        <v>23</v>
      </c>
      <c r="Q536" t="s">
        <v>24</v>
      </c>
    </row>
    <row r="537" spans="1:17" x14ac:dyDescent="0.35">
      <c r="A537">
        <v>536</v>
      </c>
      <c r="B537" t="s">
        <v>25</v>
      </c>
      <c r="C537">
        <v>16</v>
      </c>
      <c r="D537" t="s">
        <v>18</v>
      </c>
      <c r="E537" t="s">
        <v>35</v>
      </c>
      <c r="F537">
        <v>23</v>
      </c>
      <c r="G537">
        <v>0.89</v>
      </c>
      <c r="H537" t="s">
        <v>20</v>
      </c>
      <c r="I537">
        <v>18750</v>
      </c>
      <c r="J537" t="s">
        <v>28</v>
      </c>
      <c r="K537" t="s">
        <v>21</v>
      </c>
      <c r="L537">
        <v>4.18</v>
      </c>
      <c r="M537">
        <v>3.76</v>
      </c>
      <c r="N537">
        <v>3.06</v>
      </c>
      <c r="O537" t="s">
        <v>36</v>
      </c>
      <c r="P537" t="s">
        <v>32</v>
      </c>
      <c r="Q537" t="s">
        <v>29</v>
      </c>
    </row>
    <row r="538" spans="1:17" x14ac:dyDescent="0.35">
      <c r="A538">
        <v>537</v>
      </c>
      <c r="B538" t="s">
        <v>25</v>
      </c>
      <c r="C538">
        <v>15</v>
      </c>
      <c r="D538" t="s">
        <v>18</v>
      </c>
      <c r="E538" t="s">
        <v>35</v>
      </c>
      <c r="F538">
        <v>19</v>
      </c>
      <c r="G538">
        <v>0.93</v>
      </c>
      <c r="H538" t="s">
        <v>20</v>
      </c>
      <c r="I538">
        <v>26122</v>
      </c>
      <c r="J538" t="s">
        <v>21</v>
      </c>
      <c r="K538" t="s">
        <v>28</v>
      </c>
      <c r="L538">
        <v>4.33</v>
      </c>
      <c r="M538">
        <v>4.63</v>
      </c>
      <c r="N538">
        <v>4.04</v>
      </c>
      <c r="O538" t="s">
        <v>34</v>
      </c>
      <c r="P538" t="s">
        <v>32</v>
      </c>
      <c r="Q538" t="s">
        <v>29</v>
      </c>
    </row>
    <row r="539" spans="1:17" x14ac:dyDescent="0.35">
      <c r="A539">
        <v>538</v>
      </c>
      <c r="B539" t="s">
        <v>17</v>
      </c>
      <c r="C539">
        <v>16</v>
      </c>
      <c r="D539" t="s">
        <v>30</v>
      </c>
      <c r="E539" t="s">
        <v>35</v>
      </c>
      <c r="F539">
        <v>12</v>
      </c>
      <c r="G539">
        <v>0.81</v>
      </c>
      <c r="H539" t="s">
        <v>20</v>
      </c>
      <c r="I539">
        <v>17354</v>
      </c>
      <c r="J539" t="s">
        <v>21</v>
      </c>
      <c r="K539" t="s">
        <v>21</v>
      </c>
      <c r="L539">
        <v>3.4</v>
      </c>
      <c r="M539">
        <v>4.87</v>
      </c>
      <c r="N539">
        <v>4.13</v>
      </c>
      <c r="O539" t="s">
        <v>34</v>
      </c>
      <c r="P539" t="s">
        <v>23</v>
      </c>
      <c r="Q539" t="s">
        <v>24</v>
      </c>
    </row>
    <row r="540" spans="1:17" x14ac:dyDescent="0.35">
      <c r="A540">
        <v>539</v>
      </c>
      <c r="B540" t="s">
        <v>17</v>
      </c>
      <c r="C540">
        <v>16</v>
      </c>
      <c r="D540" t="s">
        <v>33</v>
      </c>
      <c r="E540" t="s">
        <v>19</v>
      </c>
      <c r="F540">
        <v>24</v>
      </c>
      <c r="G540">
        <v>0.62</v>
      </c>
      <c r="H540" t="s">
        <v>40</v>
      </c>
      <c r="I540">
        <v>54062</v>
      </c>
      <c r="J540" t="s">
        <v>21</v>
      </c>
      <c r="K540" t="s">
        <v>28</v>
      </c>
      <c r="L540">
        <v>4.76</v>
      </c>
      <c r="M540">
        <v>4.33</v>
      </c>
      <c r="N540">
        <v>4.12</v>
      </c>
      <c r="O540" t="s">
        <v>34</v>
      </c>
      <c r="P540" t="s">
        <v>32</v>
      </c>
      <c r="Q540" t="s">
        <v>29</v>
      </c>
    </row>
    <row r="541" spans="1:17" x14ac:dyDescent="0.35">
      <c r="A541">
        <v>540</v>
      </c>
      <c r="B541" t="s">
        <v>25</v>
      </c>
      <c r="C541">
        <v>15</v>
      </c>
      <c r="D541" t="s">
        <v>37</v>
      </c>
      <c r="E541" t="s">
        <v>35</v>
      </c>
      <c r="F541">
        <v>21</v>
      </c>
      <c r="G541">
        <v>0.65</v>
      </c>
      <c r="H541" t="s">
        <v>20</v>
      </c>
      <c r="I541">
        <v>40979</v>
      </c>
      <c r="J541" t="s">
        <v>21</v>
      </c>
      <c r="K541" t="s">
        <v>28</v>
      </c>
      <c r="L541">
        <v>3.39</v>
      </c>
      <c r="M541">
        <v>4.29</v>
      </c>
      <c r="N541">
        <v>3.95</v>
      </c>
      <c r="O541" t="s">
        <v>34</v>
      </c>
      <c r="P541" t="s">
        <v>32</v>
      </c>
      <c r="Q541" t="s">
        <v>24</v>
      </c>
    </row>
    <row r="542" spans="1:17" x14ac:dyDescent="0.35">
      <c r="A542">
        <v>541</v>
      </c>
      <c r="B542" t="s">
        <v>17</v>
      </c>
      <c r="C542">
        <v>17</v>
      </c>
      <c r="D542" t="s">
        <v>39</v>
      </c>
      <c r="E542" t="s">
        <v>19</v>
      </c>
      <c r="F542">
        <v>5</v>
      </c>
      <c r="G542">
        <v>0.74</v>
      </c>
      <c r="H542" t="s">
        <v>40</v>
      </c>
      <c r="I542">
        <v>30900</v>
      </c>
      <c r="J542" t="s">
        <v>21</v>
      </c>
      <c r="K542" t="s">
        <v>21</v>
      </c>
      <c r="L542">
        <v>3.63</v>
      </c>
      <c r="M542">
        <v>4.6500000000000004</v>
      </c>
      <c r="N542">
        <v>4.58</v>
      </c>
      <c r="O542" t="s">
        <v>22</v>
      </c>
      <c r="P542" t="s">
        <v>23</v>
      </c>
      <c r="Q542" t="s">
        <v>24</v>
      </c>
    </row>
    <row r="543" spans="1:17" x14ac:dyDescent="0.35">
      <c r="A543">
        <v>542</v>
      </c>
      <c r="B543" t="s">
        <v>25</v>
      </c>
      <c r="C543">
        <v>17</v>
      </c>
      <c r="D543" t="s">
        <v>41</v>
      </c>
      <c r="E543" t="s">
        <v>19</v>
      </c>
      <c r="F543">
        <v>16</v>
      </c>
      <c r="G543">
        <v>0.86</v>
      </c>
      <c r="H543" t="s">
        <v>20</v>
      </c>
      <c r="I543">
        <v>23840</v>
      </c>
      <c r="J543" t="s">
        <v>28</v>
      </c>
      <c r="K543" t="s">
        <v>28</v>
      </c>
      <c r="L543">
        <v>4.24</v>
      </c>
      <c r="M543">
        <v>3.51</v>
      </c>
      <c r="N543">
        <v>3.27</v>
      </c>
      <c r="O543" t="s">
        <v>36</v>
      </c>
      <c r="P543" t="s">
        <v>32</v>
      </c>
      <c r="Q543" t="s">
        <v>29</v>
      </c>
    </row>
    <row r="544" spans="1:17" x14ac:dyDescent="0.35">
      <c r="A544">
        <v>543</v>
      </c>
      <c r="B544" t="s">
        <v>17</v>
      </c>
      <c r="C544">
        <v>18</v>
      </c>
      <c r="D544" t="s">
        <v>41</v>
      </c>
      <c r="E544" t="s">
        <v>35</v>
      </c>
      <c r="F544">
        <v>23</v>
      </c>
      <c r="G544">
        <v>0.69</v>
      </c>
      <c r="H544" t="s">
        <v>31</v>
      </c>
      <c r="I544">
        <v>47167</v>
      </c>
      <c r="J544" t="s">
        <v>28</v>
      </c>
      <c r="K544" t="s">
        <v>28</v>
      </c>
      <c r="L544">
        <v>4.28</v>
      </c>
      <c r="M544">
        <v>4.88</v>
      </c>
      <c r="N544">
        <v>3.62</v>
      </c>
      <c r="O544" t="s">
        <v>34</v>
      </c>
      <c r="P544" t="s">
        <v>32</v>
      </c>
      <c r="Q544" t="s">
        <v>29</v>
      </c>
    </row>
    <row r="545" spans="1:17" x14ac:dyDescent="0.35">
      <c r="A545">
        <v>544</v>
      </c>
      <c r="B545" t="s">
        <v>25</v>
      </c>
      <c r="C545">
        <v>15</v>
      </c>
      <c r="D545" t="s">
        <v>26</v>
      </c>
      <c r="E545" t="s">
        <v>19</v>
      </c>
      <c r="F545">
        <v>19</v>
      </c>
      <c r="G545">
        <v>0.68</v>
      </c>
      <c r="H545" t="s">
        <v>27</v>
      </c>
      <c r="I545">
        <v>15037</v>
      </c>
      <c r="J545" t="s">
        <v>28</v>
      </c>
      <c r="K545" t="s">
        <v>21</v>
      </c>
      <c r="L545">
        <v>4.4000000000000004</v>
      </c>
      <c r="M545">
        <v>3.8</v>
      </c>
      <c r="N545">
        <v>4.2300000000000004</v>
      </c>
      <c r="O545" t="s">
        <v>34</v>
      </c>
      <c r="P545" t="s">
        <v>32</v>
      </c>
      <c r="Q545" t="s">
        <v>29</v>
      </c>
    </row>
    <row r="546" spans="1:17" x14ac:dyDescent="0.35">
      <c r="A546">
        <v>545</v>
      </c>
      <c r="B546" t="s">
        <v>17</v>
      </c>
      <c r="C546">
        <v>18</v>
      </c>
      <c r="D546" t="s">
        <v>30</v>
      </c>
      <c r="E546" t="s">
        <v>35</v>
      </c>
      <c r="F546">
        <v>13</v>
      </c>
      <c r="G546">
        <v>0.92</v>
      </c>
      <c r="H546" t="s">
        <v>31</v>
      </c>
      <c r="I546">
        <v>38633</v>
      </c>
      <c r="J546" t="s">
        <v>28</v>
      </c>
      <c r="K546" t="s">
        <v>21</v>
      </c>
      <c r="L546">
        <v>3.22</v>
      </c>
      <c r="M546">
        <v>4.9800000000000004</v>
      </c>
      <c r="N546">
        <v>4.38</v>
      </c>
      <c r="O546" t="s">
        <v>34</v>
      </c>
      <c r="P546" t="s">
        <v>23</v>
      </c>
      <c r="Q546" t="s">
        <v>24</v>
      </c>
    </row>
    <row r="547" spans="1:17" x14ac:dyDescent="0.35">
      <c r="A547">
        <v>546</v>
      </c>
      <c r="B547" t="s">
        <v>25</v>
      </c>
      <c r="C547">
        <v>18</v>
      </c>
      <c r="D547" t="s">
        <v>41</v>
      </c>
      <c r="E547" t="s">
        <v>35</v>
      </c>
      <c r="F547">
        <v>11</v>
      </c>
      <c r="G547">
        <v>0.91</v>
      </c>
      <c r="H547" t="s">
        <v>20</v>
      </c>
      <c r="I547">
        <v>34495</v>
      </c>
      <c r="J547" t="s">
        <v>21</v>
      </c>
      <c r="K547" t="s">
        <v>28</v>
      </c>
      <c r="L547">
        <v>4.7</v>
      </c>
      <c r="M547">
        <v>4.5999999999999996</v>
      </c>
      <c r="N547">
        <v>3.81</v>
      </c>
      <c r="O547" t="s">
        <v>34</v>
      </c>
      <c r="P547" t="s">
        <v>23</v>
      </c>
      <c r="Q547" t="s">
        <v>29</v>
      </c>
    </row>
    <row r="548" spans="1:17" x14ac:dyDescent="0.35">
      <c r="A548">
        <v>547</v>
      </c>
      <c r="B548" t="s">
        <v>17</v>
      </c>
      <c r="C548">
        <v>18</v>
      </c>
      <c r="D548" t="s">
        <v>33</v>
      </c>
      <c r="E548" t="s">
        <v>35</v>
      </c>
      <c r="F548">
        <v>6</v>
      </c>
      <c r="G548">
        <v>0.65</v>
      </c>
      <c r="H548" t="s">
        <v>20</v>
      </c>
      <c r="I548">
        <v>25848</v>
      </c>
      <c r="J548" t="s">
        <v>28</v>
      </c>
      <c r="K548" t="s">
        <v>28</v>
      </c>
      <c r="L548">
        <v>4.07</v>
      </c>
      <c r="M548">
        <v>4.66</v>
      </c>
      <c r="N548">
        <v>4.75</v>
      </c>
      <c r="O548" t="s">
        <v>22</v>
      </c>
      <c r="P548" t="s">
        <v>23</v>
      </c>
      <c r="Q548" t="s">
        <v>24</v>
      </c>
    </row>
    <row r="549" spans="1:17" x14ac:dyDescent="0.35">
      <c r="A549">
        <v>548</v>
      </c>
      <c r="B549" t="s">
        <v>25</v>
      </c>
      <c r="C549">
        <v>17</v>
      </c>
      <c r="D549" t="s">
        <v>37</v>
      </c>
      <c r="E549" t="s">
        <v>19</v>
      </c>
      <c r="F549">
        <v>13</v>
      </c>
      <c r="G549">
        <v>0.95</v>
      </c>
      <c r="H549" t="s">
        <v>20</v>
      </c>
      <c r="I549">
        <v>46483</v>
      </c>
      <c r="J549" t="s">
        <v>21</v>
      </c>
      <c r="K549" t="s">
        <v>21</v>
      </c>
      <c r="L549">
        <v>3.94</v>
      </c>
      <c r="M549">
        <v>4.4800000000000004</v>
      </c>
      <c r="N549">
        <v>3.83</v>
      </c>
      <c r="O549" t="s">
        <v>34</v>
      </c>
      <c r="P549" t="s">
        <v>23</v>
      </c>
      <c r="Q549" t="s">
        <v>29</v>
      </c>
    </row>
    <row r="550" spans="1:17" x14ac:dyDescent="0.35">
      <c r="A550">
        <v>549</v>
      </c>
      <c r="B550" t="s">
        <v>25</v>
      </c>
      <c r="C550">
        <v>15</v>
      </c>
      <c r="D550" t="s">
        <v>30</v>
      </c>
      <c r="E550" t="s">
        <v>35</v>
      </c>
      <c r="F550">
        <v>14</v>
      </c>
      <c r="G550">
        <v>0.61</v>
      </c>
      <c r="H550" t="s">
        <v>31</v>
      </c>
      <c r="I550">
        <v>57645</v>
      </c>
      <c r="J550" t="s">
        <v>28</v>
      </c>
      <c r="K550" t="s">
        <v>28</v>
      </c>
      <c r="L550">
        <v>4.96</v>
      </c>
      <c r="M550">
        <v>4.21</v>
      </c>
      <c r="N550">
        <v>3.81</v>
      </c>
      <c r="O550" t="s">
        <v>34</v>
      </c>
      <c r="P550" t="s">
        <v>23</v>
      </c>
      <c r="Q550" t="s">
        <v>29</v>
      </c>
    </row>
    <row r="551" spans="1:17" x14ac:dyDescent="0.35">
      <c r="A551">
        <v>550</v>
      </c>
      <c r="B551" t="s">
        <v>17</v>
      </c>
      <c r="C551">
        <v>18</v>
      </c>
      <c r="D551" t="s">
        <v>37</v>
      </c>
      <c r="E551" t="s">
        <v>19</v>
      </c>
      <c r="F551">
        <v>6</v>
      </c>
      <c r="G551">
        <v>0.88</v>
      </c>
      <c r="H551" t="s">
        <v>20</v>
      </c>
      <c r="I551">
        <v>17837</v>
      </c>
      <c r="J551" t="s">
        <v>28</v>
      </c>
      <c r="K551" t="s">
        <v>28</v>
      </c>
      <c r="L551">
        <v>4.4800000000000004</v>
      </c>
      <c r="M551">
        <v>4.3600000000000003</v>
      </c>
      <c r="N551">
        <v>3.07</v>
      </c>
      <c r="O551" t="s">
        <v>36</v>
      </c>
      <c r="P551" t="s">
        <v>23</v>
      </c>
      <c r="Q551" t="s">
        <v>29</v>
      </c>
    </row>
    <row r="552" spans="1:17" x14ac:dyDescent="0.35">
      <c r="A552">
        <v>551</v>
      </c>
      <c r="B552" t="s">
        <v>17</v>
      </c>
      <c r="C552">
        <v>15</v>
      </c>
      <c r="D552" t="s">
        <v>33</v>
      </c>
      <c r="E552" t="s">
        <v>35</v>
      </c>
      <c r="F552">
        <v>23</v>
      </c>
      <c r="G552">
        <v>0.63</v>
      </c>
      <c r="H552" t="s">
        <v>31</v>
      </c>
      <c r="I552">
        <v>44069</v>
      </c>
      <c r="J552" t="s">
        <v>28</v>
      </c>
      <c r="K552" t="s">
        <v>21</v>
      </c>
      <c r="L552">
        <v>3.24</v>
      </c>
      <c r="M552">
        <v>3.57</v>
      </c>
      <c r="N552">
        <v>4.0999999999999996</v>
      </c>
      <c r="O552" t="s">
        <v>34</v>
      </c>
      <c r="P552" t="s">
        <v>32</v>
      </c>
      <c r="Q552" t="s">
        <v>24</v>
      </c>
    </row>
    <row r="553" spans="1:17" x14ac:dyDescent="0.35">
      <c r="A553">
        <v>552</v>
      </c>
      <c r="B553" t="s">
        <v>25</v>
      </c>
      <c r="C553">
        <v>15</v>
      </c>
      <c r="D553" t="s">
        <v>41</v>
      </c>
      <c r="E553" t="s">
        <v>35</v>
      </c>
      <c r="F553">
        <v>15</v>
      </c>
      <c r="G553">
        <v>0.6</v>
      </c>
      <c r="H553" t="s">
        <v>40</v>
      </c>
      <c r="I553">
        <v>17370</v>
      </c>
      <c r="J553" t="s">
        <v>28</v>
      </c>
      <c r="K553" t="s">
        <v>21</v>
      </c>
      <c r="L553">
        <v>4.51</v>
      </c>
      <c r="M553">
        <v>4.4400000000000004</v>
      </c>
      <c r="N553">
        <v>4.42</v>
      </c>
      <c r="O553" t="s">
        <v>34</v>
      </c>
      <c r="P553" t="s">
        <v>32</v>
      </c>
      <c r="Q553" t="s">
        <v>29</v>
      </c>
    </row>
    <row r="554" spans="1:17" x14ac:dyDescent="0.35">
      <c r="A554">
        <v>553</v>
      </c>
      <c r="B554" t="s">
        <v>17</v>
      </c>
      <c r="C554">
        <v>17</v>
      </c>
      <c r="D554" t="s">
        <v>41</v>
      </c>
      <c r="E554" t="s">
        <v>35</v>
      </c>
      <c r="F554">
        <v>17</v>
      </c>
      <c r="G554">
        <v>0.78</v>
      </c>
      <c r="H554" t="s">
        <v>27</v>
      </c>
      <c r="I554">
        <v>16411</v>
      </c>
      <c r="J554" t="s">
        <v>21</v>
      </c>
      <c r="K554" t="s">
        <v>21</v>
      </c>
      <c r="L554">
        <v>3.19</v>
      </c>
      <c r="M554">
        <v>4.4400000000000004</v>
      </c>
      <c r="N554">
        <v>3.23</v>
      </c>
      <c r="O554" t="s">
        <v>36</v>
      </c>
      <c r="P554" t="s">
        <v>32</v>
      </c>
      <c r="Q554" t="s">
        <v>24</v>
      </c>
    </row>
    <row r="555" spans="1:17" x14ac:dyDescent="0.35">
      <c r="A555">
        <v>554</v>
      </c>
      <c r="B555" t="s">
        <v>25</v>
      </c>
      <c r="C555">
        <v>18</v>
      </c>
      <c r="D555" t="s">
        <v>26</v>
      </c>
      <c r="E555" t="s">
        <v>19</v>
      </c>
      <c r="F555">
        <v>14</v>
      </c>
      <c r="G555">
        <v>0.85</v>
      </c>
      <c r="H555" t="s">
        <v>27</v>
      </c>
      <c r="I555">
        <v>49133</v>
      </c>
      <c r="J555" t="s">
        <v>28</v>
      </c>
      <c r="K555" t="s">
        <v>21</v>
      </c>
      <c r="L555">
        <v>3.05</v>
      </c>
      <c r="M555">
        <v>4.84</v>
      </c>
      <c r="N555">
        <v>3.61</v>
      </c>
      <c r="O555" t="s">
        <v>34</v>
      </c>
      <c r="P555" t="s">
        <v>23</v>
      </c>
      <c r="Q555" t="s">
        <v>24</v>
      </c>
    </row>
    <row r="556" spans="1:17" x14ac:dyDescent="0.35">
      <c r="A556">
        <v>555</v>
      </c>
      <c r="B556" t="s">
        <v>17</v>
      </c>
      <c r="C556">
        <v>18</v>
      </c>
      <c r="D556" t="s">
        <v>41</v>
      </c>
      <c r="E556" t="s">
        <v>19</v>
      </c>
      <c r="F556">
        <v>18</v>
      </c>
      <c r="G556">
        <v>0.84</v>
      </c>
      <c r="H556" t="s">
        <v>31</v>
      </c>
      <c r="I556">
        <v>40499</v>
      </c>
      <c r="J556" t="s">
        <v>28</v>
      </c>
      <c r="K556" t="s">
        <v>21</v>
      </c>
      <c r="L556">
        <v>3.81</v>
      </c>
      <c r="M556">
        <v>4.26</v>
      </c>
      <c r="N556">
        <v>4.5599999999999996</v>
      </c>
      <c r="O556" t="s">
        <v>22</v>
      </c>
      <c r="P556" t="s">
        <v>32</v>
      </c>
      <c r="Q556" t="s">
        <v>24</v>
      </c>
    </row>
    <row r="557" spans="1:17" x14ac:dyDescent="0.35">
      <c r="A557">
        <v>556</v>
      </c>
      <c r="B557" t="s">
        <v>25</v>
      </c>
      <c r="C557">
        <v>15</v>
      </c>
      <c r="D557" t="s">
        <v>30</v>
      </c>
      <c r="E557" t="s">
        <v>19</v>
      </c>
      <c r="F557">
        <v>22</v>
      </c>
      <c r="G557">
        <v>0.69</v>
      </c>
      <c r="H557" t="s">
        <v>40</v>
      </c>
      <c r="I557">
        <v>40225</v>
      </c>
      <c r="J557" t="s">
        <v>21</v>
      </c>
      <c r="K557" t="s">
        <v>21</v>
      </c>
      <c r="L557">
        <v>4.99</v>
      </c>
      <c r="M557">
        <v>3.62</v>
      </c>
      <c r="N557">
        <v>3.73</v>
      </c>
      <c r="O557" t="s">
        <v>34</v>
      </c>
      <c r="P557" t="s">
        <v>32</v>
      </c>
      <c r="Q557" t="s">
        <v>29</v>
      </c>
    </row>
    <row r="558" spans="1:17" x14ac:dyDescent="0.35">
      <c r="A558">
        <v>557</v>
      </c>
      <c r="B558" t="s">
        <v>25</v>
      </c>
      <c r="C558">
        <v>16</v>
      </c>
      <c r="D558" t="s">
        <v>33</v>
      </c>
      <c r="E558" t="s">
        <v>35</v>
      </c>
      <c r="F558">
        <v>23</v>
      </c>
      <c r="G558">
        <v>0.74</v>
      </c>
      <c r="H558" t="s">
        <v>31</v>
      </c>
      <c r="I558">
        <v>58217</v>
      </c>
      <c r="J558" t="s">
        <v>21</v>
      </c>
      <c r="K558" t="s">
        <v>28</v>
      </c>
      <c r="L558">
        <v>3.35</v>
      </c>
      <c r="M558">
        <v>3.96</v>
      </c>
      <c r="N558">
        <v>3.48</v>
      </c>
      <c r="O558" t="s">
        <v>36</v>
      </c>
      <c r="P558" t="s">
        <v>32</v>
      </c>
      <c r="Q558" t="s">
        <v>24</v>
      </c>
    </row>
    <row r="559" spans="1:17" x14ac:dyDescent="0.35">
      <c r="A559">
        <v>558</v>
      </c>
      <c r="B559" t="s">
        <v>25</v>
      </c>
      <c r="C559">
        <v>17</v>
      </c>
      <c r="D559" t="s">
        <v>18</v>
      </c>
      <c r="E559" t="s">
        <v>35</v>
      </c>
      <c r="F559">
        <v>26</v>
      </c>
      <c r="G559">
        <v>0.81</v>
      </c>
      <c r="H559" t="s">
        <v>40</v>
      </c>
      <c r="I559">
        <v>10692</v>
      </c>
      <c r="J559" t="s">
        <v>28</v>
      </c>
      <c r="K559" t="s">
        <v>28</v>
      </c>
      <c r="L559">
        <v>4.3499999999999996</v>
      </c>
      <c r="M559">
        <v>4.4800000000000004</v>
      </c>
      <c r="N559">
        <v>4.34</v>
      </c>
      <c r="O559" t="s">
        <v>34</v>
      </c>
      <c r="P559" t="s">
        <v>32</v>
      </c>
      <c r="Q559" t="s">
        <v>29</v>
      </c>
    </row>
    <row r="560" spans="1:17" x14ac:dyDescent="0.35">
      <c r="A560">
        <v>559</v>
      </c>
      <c r="B560" t="s">
        <v>25</v>
      </c>
      <c r="C560">
        <v>17</v>
      </c>
      <c r="D560" t="s">
        <v>33</v>
      </c>
      <c r="E560" t="s">
        <v>19</v>
      </c>
      <c r="F560">
        <v>13</v>
      </c>
      <c r="G560">
        <v>0.8</v>
      </c>
      <c r="H560" t="s">
        <v>20</v>
      </c>
      <c r="I560">
        <v>38926</v>
      </c>
      <c r="J560" t="s">
        <v>21</v>
      </c>
      <c r="K560" t="s">
        <v>21</v>
      </c>
      <c r="L560">
        <v>3.35</v>
      </c>
      <c r="M560">
        <v>3.86</v>
      </c>
      <c r="N560">
        <v>3.39</v>
      </c>
      <c r="O560" t="s">
        <v>36</v>
      </c>
      <c r="P560" t="s">
        <v>23</v>
      </c>
      <c r="Q560" t="s">
        <v>24</v>
      </c>
    </row>
    <row r="561" spans="1:17" x14ac:dyDescent="0.35">
      <c r="A561">
        <v>560</v>
      </c>
      <c r="B561" t="s">
        <v>25</v>
      </c>
      <c r="C561">
        <v>17</v>
      </c>
      <c r="D561" t="s">
        <v>30</v>
      </c>
      <c r="E561" t="s">
        <v>19</v>
      </c>
      <c r="F561">
        <v>29</v>
      </c>
      <c r="G561">
        <v>0.81</v>
      </c>
      <c r="H561" t="s">
        <v>40</v>
      </c>
      <c r="I561">
        <v>44246</v>
      </c>
      <c r="J561" t="s">
        <v>21</v>
      </c>
      <c r="K561" t="s">
        <v>21</v>
      </c>
      <c r="L561">
        <v>4.45</v>
      </c>
      <c r="M561">
        <v>3.92</v>
      </c>
      <c r="N561">
        <v>4.79</v>
      </c>
      <c r="O561" t="s">
        <v>22</v>
      </c>
      <c r="P561" t="s">
        <v>32</v>
      </c>
      <c r="Q561" t="s">
        <v>24</v>
      </c>
    </row>
    <row r="562" spans="1:17" x14ac:dyDescent="0.35">
      <c r="A562">
        <v>561</v>
      </c>
      <c r="B562" t="s">
        <v>25</v>
      </c>
      <c r="C562">
        <v>17</v>
      </c>
      <c r="D562" t="s">
        <v>30</v>
      </c>
      <c r="E562" t="s">
        <v>19</v>
      </c>
      <c r="F562">
        <v>11</v>
      </c>
      <c r="G562">
        <v>0.95</v>
      </c>
      <c r="H562" t="s">
        <v>40</v>
      </c>
      <c r="I562">
        <v>49164</v>
      </c>
      <c r="J562" t="s">
        <v>21</v>
      </c>
      <c r="K562" t="s">
        <v>28</v>
      </c>
      <c r="L562">
        <v>4.01</v>
      </c>
      <c r="M562">
        <v>4.7300000000000004</v>
      </c>
      <c r="N562">
        <v>3.21</v>
      </c>
      <c r="O562" t="s">
        <v>36</v>
      </c>
      <c r="P562" t="s">
        <v>23</v>
      </c>
      <c r="Q562" t="s">
        <v>29</v>
      </c>
    </row>
    <row r="563" spans="1:17" x14ac:dyDescent="0.35">
      <c r="A563">
        <v>562</v>
      </c>
      <c r="B563" t="s">
        <v>17</v>
      </c>
      <c r="C563">
        <v>18</v>
      </c>
      <c r="D563" t="s">
        <v>26</v>
      </c>
      <c r="E563" t="s">
        <v>19</v>
      </c>
      <c r="F563">
        <v>7</v>
      </c>
      <c r="G563">
        <v>0.93</v>
      </c>
      <c r="H563" t="s">
        <v>40</v>
      </c>
      <c r="I563">
        <v>18448</v>
      </c>
      <c r="J563" t="s">
        <v>28</v>
      </c>
      <c r="K563" t="s">
        <v>28</v>
      </c>
      <c r="L563">
        <v>4.3600000000000003</v>
      </c>
      <c r="M563">
        <v>4.38</v>
      </c>
      <c r="N563">
        <v>4.41</v>
      </c>
      <c r="O563" t="s">
        <v>34</v>
      </c>
      <c r="P563" t="s">
        <v>23</v>
      </c>
      <c r="Q563" t="s">
        <v>24</v>
      </c>
    </row>
    <row r="564" spans="1:17" x14ac:dyDescent="0.35">
      <c r="A564">
        <v>563</v>
      </c>
      <c r="B564" t="s">
        <v>17</v>
      </c>
      <c r="C564">
        <v>18</v>
      </c>
      <c r="D564" t="s">
        <v>26</v>
      </c>
      <c r="E564" t="s">
        <v>19</v>
      </c>
      <c r="F564">
        <v>24</v>
      </c>
      <c r="G564">
        <v>0.89</v>
      </c>
      <c r="H564" t="s">
        <v>27</v>
      </c>
      <c r="I564">
        <v>53390</v>
      </c>
      <c r="J564" t="s">
        <v>21</v>
      </c>
      <c r="K564" t="s">
        <v>28</v>
      </c>
      <c r="L564">
        <v>3.41</v>
      </c>
      <c r="M564">
        <v>4.26</v>
      </c>
      <c r="N564">
        <v>4</v>
      </c>
      <c r="O564" t="s">
        <v>34</v>
      </c>
      <c r="P564" t="s">
        <v>32</v>
      </c>
      <c r="Q564" t="s">
        <v>24</v>
      </c>
    </row>
    <row r="565" spans="1:17" x14ac:dyDescent="0.35">
      <c r="A565">
        <v>564</v>
      </c>
      <c r="B565" t="s">
        <v>17</v>
      </c>
      <c r="C565">
        <v>16</v>
      </c>
      <c r="D565" t="s">
        <v>41</v>
      </c>
      <c r="E565" t="s">
        <v>19</v>
      </c>
      <c r="F565">
        <v>10</v>
      </c>
      <c r="G565">
        <v>0.84</v>
      </c>
      <c r="H565" t="s">
        <v>40</v>
      </c>
      <c r="I565">
        <v>59593</v>
      </c>
      <c r="J565" t="s">
        <v>28</v>
      </c>
      <c r="K565" t="s">
        <v>21</v>
      </c>
      <c r="L565">
        <v>4.49</v>
      </c>
      <c r="M565">
        <v>3.98</v>
      </c>
      <c r="N565">
        <v>4.74</v>
      </c>
      <c r="O565" t="s">
        <v>22</v>
      </c>
      <c r="P565" t="s">
        <v>23</v>
      </c>
      <c r="Q565" t="s">
        <v>24</v>
      </c>
    </row>
    <row r="566" spans="1:17" x14ac:dyDescent="0.35">
      <c r="A566">
        <v>565</v>
      </c>
      <c r="B566" t="s">
        <v>25</v>
      </c>
      <c r="C566">
        <v>17</v>
      </c>
      <c r="D566" t="s">
        <v>42</v>
      </c>
      <c r="E566" t="s">
        <v>35</v>
      </c>
      <c r="F566">
        <v>25</v>
      </c>
      <c r="G566">
        <v>0.87</v>
      </c>
      <c r="H566" t="s">
        <v>20</v>
      </c>
      <c r="I566">
        <v>20073</v>
      </c>
      <c r="J566" t="s">
        <v>28</v>
      </c>
      <c r="K566" t="s">
        <v>21</v>
      </c>
      <c r="L566">
        <v>4.99</v>
      </c>
      <c r="M566">
        <v>4.5999999999999996</v>
      </c>
      <c r="N566">
        <v>3.25</v>
      </c>
      <c r="O566" t="s">
        <v>36</v>
      </c>
      <c r="P566" t="s">
        <v>32</v>
      </c>
      <c r="Q566" t="s">
        <v>29</v>
      </c>
    </row>
    <row r="567" spans="1:17" x14ac:dyDescent="0.35">
      <c r="A567">
        <v>566</v>
      </c>
      <c r="B567" t="s">
        <v>25</v>
      </c>
      <c r="C567">
        <v>17</v>
      </c>
      <c r="D567" t="s">
        <v>33</v>
      </c>
      <c r="E567" t="s">
        <v>19</v>
      </c>
      <c r="F567">
        <v>6</v>
      </c>
      <c r="G567">
        <v>0.6</v>
      </c>
      <c r="H567" t="s">
        <v>20</v>
      </c>
      <c r="I567">
        <v>45414</v>
      </c>
      <c r="J567" t="s">
        <v>28</v>
      </c>
      <c r="K567" t="s">
        <v>28</v>
      </c>
      <c r="L567">
        <v>4.33</v>
      </c>
      <c r="M567">
        <v>3.93</v>
      </c>
      <c r="N567">
        <v>4.3600000000000003</v>
      </c>
      <c r="O567" t="s">
        <v>34</v>
      </c>
      <c r="P567" t="s">
        <v>23</v>
      </c>
      <c r="Q567" t="s">
        <v>24</v>
      </c>
    </row>
    <row r="568" spans="1:17" x14ac:dyDescent="0.35">
      <c r="A568">
        <v>567</v>
      </c>
      <c r="B568" t="s">
        <v>25</v>
      </c>
      <c r="C568">
        <v>15</v>
      </c>
      <c r="D568" t="s">
        <v>33</v>
      </c>
      <c r="E568" t="s">
        <v>35</v>
      </c>
      <c r="F568">
        <v>10</v>
      </c>
      <c r="G568">
        <v>0.63</v>
      </c>
      <c r="H568" t="s">
        <v>20</v>
      </c>
      <c r="I568">
        <v>15209</v>
      </c>
      <c r="J568" t="s">
        <v>28</v>
      </c>
      <c r="K568" t="s">
        <v>21</v>
      </c>
      <c r="L568">
        <v>3.99</v>
      </c>
      <c r="M568">
        <v>4.6100000000000003</v>
      </c>
      <c r="N568">
        <v>4.1399999999999997</v>
      </c>
      <c r="O568" t="s">
        <v>34</v>
      </c>
      <c r="P568" t="s">
        <v>23</v>
      </c>
      <c r="Q568" t="s">
        <v>24</v>
      </c>
    </row>
    <row r="569" spans="1:17" x14ac:dyDescent="0.35">
      <c r="A569">
        <v>568</v>
      </c>
      <c r="B569" t="s">
        <v>25</v>
      </c>
      <c r="C569">
        <v>18</v>
      </c>
      <c r="D569" t="s">
        <v>42</v>
      </c>
      <c r="E569" t="s">
        <v>35</v>
      </c>
      <c r="F569">
        <v>7</v>
      </c>
      <c r="G569">
        <v>0.66</v>
      </c>
      <c r="H569" t="s">
        <v>40</v>
      </c>
      <c r="I569">
        <v>16533</v>
      </c>
      <c r="J569" t="s">
        <v>21</v>
      </c>
      <c r="K569" t="s">
        <v>21</v>
      </c>
      <c r="L569">
        <v>4.8499999999999996</v>
      </c>
      <c r="M569">
        <v>3.61</v>
      </c>
      <c r="N569">
        <v>3.96</v>
      </c>
      <c r="O569" t="s">
        <v>34</v>
      </c>
      <c r="P569" t="s">
        <v>23</v>
      </c>
      <c r="Q569" t="s">
        <v>29</v>
      </c>
    </row>
    <row r="570" spans="1:17" x14ac:dyDescent="0.35">
      <c r="A570">
        <v>569</v>
      </c>
      <c r="B570" t="s">
        <v>17</v>
      </c>
      <c r="C570">
        <v>17</v>
      </c>
      <c r="D570" t="s">
        <v>26</v>
      </c>
      <c r="E570" t="s">
        <v>19</v>
      </c>
      <c r="F570">
        <v>20</v>
      </c>
      <c r="G570">
        <v>0.68</v>
      </c>
      <c r="H570" t="s">
        <v>31</v>
      </c>
      <c r="I570">
        <v>31061</v>
      </c>
      <c r="J570" t="s">
        <v>28</v>
      </c>
      <c r="K570" t="s">
        <v>21</v>
      </c>
      <c r="L570">
        <v>3.03</v>
      </c>
      <c r="M570">
        <v>4.8</v>
      </c>
      <c r="N570">
        <v>3.98</v>
      </c>
      <c r="O570" t="s">
        <v>34</v>
      </c>
      <c r="P570" t="s">
        <v>32</v>
      </c>
      <c r="Q570" t="s">
        <v>24</v>
      </c>
    </row>
    <row r="571" spans="1:17" x14ac:dyDescent="0.35">
      <c r="A571">
        <v>570</v>
      </c>
      <c r="B571" t="s">
        <v>17</v>
      </c>
      <c r="C571">
        <v>16</v>
      </c>
      <c r="D571" t="s">
        <v>41</v>
      </c>
      <c r="E571" t="s">
        <v>19</v>
      </c>
      <c r="F571">
        <v>12</v>
      </c>
      <c r="G571">
        <v>0.95</v>
      </c>
      <c r="H571" t="s">
        <v>31</v>
      </c>
      <c r="I571">
        <v>17211</v>
      </c>
      <c r="J571" t="s">
        <v>21</v>
      </c>
      <c r="K571" t="s">
        <v>28</v>
      </c>
      <c r="L571">
        <v>4.46</v>
      </c>
      <c r="M571">
        <v>4.25</v>
      </c>
      <c r="N571">
        <v>4.4400000000000004</v>
      </c>
      <c r="O571" t="s">
        <v>34</v>
      </c>
      <c r="P571" t="s">
        <v>23</v>
      </c>
      <c r="Q571" t="s">
        <v>29</v>
      </c>
    </row>
    <row r="572" spans="1:17" x14ac:dyDescent="0.35">
      <c r="A572">
        <v>571</v>
      </c>
      <c r="B572" t="s">
        <v>25</v>
      </c>
      <c r="C572">
        <v>16</v>
      </c>
      <c r="D572" t="s">
        <v>42</v>
      </c>
      <c r="E572" t="s">
        <v>35</v>
      </c>
      <c r="F572">
        <v>6</v>
      </c>
      <c r="G572">
        <v>0.78</v>
      </c>
      <c r="H572" t="s">
        <v>20</v>
      </c>
      <c r="I572">
        <v>19927</v>
      </c>
      <c r="J572" t="s">
        <v>28</v>
      </c>
      <c r="K572" t="s">
        <v>28</v>
      </c>
      <c r="L572">
        <v>4.78</v>
      </c>
      <c r="M572">
        <v>4.16</v>
      </c>
      <c r="N572">
        <v>4.88</v>
      </c>
      <c r="O572" t="s">
        <v>22</v>
      </c>
      <c r="P572" t="s">
        <v>23</v>
      </c>
      <c r="Q572" t="s">
        <v>24</v>
      </c>
    </row>
    <row r="573" spans="1:17" x14ac:dyDescent="0.35">
      <c r="A573">
        <v>572</v>
      </c>
      <c r="B573" t="s">
        <v>17</v>
      </c>
      <c r="C573">
        <v>18</v>
      </c>
      <c r="D573" t="s">
        <v>41</v>
      </c>
      <c r="E573" t="s">
        <v>19</v>
      </c>
      <c r="F573">
        <v>21</v>
      </c>
      <c r="G573">
        <v>0.6</v>
      </c>
      <c r="H573" t="s">
        <v>27</v>
      </c>
      <c r="I573">
        <v>21927</v>
      </c>
      <c r="J573" t="s">
        <v>21</v>
      </c>
      <c r="K573" t="s">
        <v>21</v>
      </c>
      <c r="L573">
        <v>3.12</v>
      </c>
      <c r="M573">
        <v>4.42</v>
      </c>
      <c r="N573">
        <v>3.18</v>
      </c>
      <c r="O573" t="s">
        <v>36</v>
      </c>
      <c r="P573" t="s">
        <v>32</v>
      </c>
      <c r="Q573" t="s">
        <v>24</v>
      </c>
    </row>
    <row r="574" spans="1:17" x14ac:dyDescent="0.35">
      <c r="A574">
        <v>573</v>
      </c>
      <c r="B574" t="s">
        <v>17</v>
      </c>
      <c r="C574">
        <v>16</v>
      </c>
      <c r="D574" t="s">
        <v>41</v>
      </c>
      <c r="E574" t="s">
        <v>19</v>
      </c>
      <c r="F574">
        <v>13</v>
      </c>
      <c r="G574">
        <v>0.69</v>
      </c>
      <c r="H574" t="s">
        <v>31</v>
      </c>
      <c r="I574">
        <v>34594</v>
      </c>
      <c r="J574" t="s">
        <v>28</v>
      </c>
      <c r="K574" t="s">
        <v>21</v>
      </c>
      <c r="L574">
        <v>3.9</v>
      </c>
      <c r="M574">
        <v>4.4400000000000004</v>
      </c>
      <c r="N574">
        <v>3.04</v>
      </c>
      <c r="O574" t="s">
        <v>36</v>
      </c>
      <c r="P574" t="s">
        <v>23</v>
      </c>
      <c r="Q574" t="s">
        <v>29</v>
      </c>
    </row>
    <row r="575" spans="1:17" x14ac:dyDescent="0.35">
      <c r="A575">
        <v>574</v>
      </c>
      <c r="B575" t="s">
        <v>25</v>
      </c>
      <c r="C575">
        <v>16</v>
      </c>
      <c r="D575" t="s">
        <v>41</v>
      </c>
      <c r="E575" t="s">
        <v>35</v>
      </c>
      <c r="F575">
        <v>16</v>
      </c>
      <c r="G575">
        <v>0.95</v>
      </c>
      <c r="H575" t="s">
        <v>40</v>
      </c>
      <c r="I575">
        <v>19316</v>
      </c>
      <c r="J575" t="s">
        <v>21</v>
      </c>
      <c r="K575" t="s">
        <v>21</v>
      </c>
      <c r="L575">
        <v>3.41</v>
      </c>
      <c r="M575">
        <v>3.7</v>
      </c>
      <c r="N575">
        <v>4.6100000000000003</v>
      </c>
      <c r="O575" t="s">
        <v>22</v>
      </c>
      <c r="P575" t="s">
        <v>32</v>
      </c>
      <c r="Q575" t="s">
        <v>24</v>
      </c>
    </row>
    <row r="576" spans="1:17" x14ac:dyDescent="0.35">
      <c r="A576">
        <v>575</v>
      </c>
      <c r="B576" t="s">
        <v>17</v>
      </c>
      <c r="C576">
        <v>18</v>
      </c>
      <c r="D576" t="s">
        <v>39</v>
      </c>
      <c r="E576" t="s">
        <v>35</v>
      </c>
      <c r="F576">
        <v>7</v>
      </c>
      <c r="G576">
        <v>0.68</v>
      </c>
      <c r="H576" t="s">
        <v>31</v>
      </c>
      <c r="I576">
        <v>22177</v>
      </c>
      <c r="J576" t="s">
        <v>28</v>
      </c>
      <c r="K576" t="s">
        <v>21</v>
      </c>
      <c r="L576">
        <v>4.13</v>
      </c>
      <c r="M576">
        <v>4.63</v>
      </c>
      <c r="N576">
        <v>3.22</v>
      </c>
      <c r="O576" t="s">
        <v>36</v>
      </c>
      <c r="P576" t="s">
        <v>23</v>
      </c>
      <c r="Q576" t="s">
        <v>29</v>
      </c>
    </row>
    <row r="577" spans="1:17" x14ac:dyDescent="0.35">
      <c r="A577">
        <v>576</v>
      </c>
      <c r="B577" t="s">
        <v>25</v>
      </c>
      <c r="C577">
        <v>17</v>
      </c>
      <c r="D577" t="s">
        <v>30</v>
      </c>
      <c r="E577" t="s">
        <v>35</v>
      </c>
      <c r="F577">
        <v>15</v>
      </c>
      <c r="G577">
        <v>0.91</v>
      </c>
      <c r="H577" t="s">
        <v>20</v>
      </c>
      <c r="I577">
        <v>20846</v>
      </c>
      <c r="J577" t="s">
        <v>28</v>
      </c>
      <c r="K577" t="s">
        <v>21</v>
      </c>
      <c r="L577">
        <v>4.3</v>
      </c>
      <c r="M577">
        <v>3.91</v>
      </c>
      <c r="N577">
        <v>4.97</v>
      </c>
      <c r="O577" t="s">
        <v>22</v>
      </c>
      <c r="P577" t="s">
        <v>32</v>
      </c>
      <c r="Q577" t="s">
        <v>24</v>
      </c>
    </row>
    <row r="578" spans="1:17" x14ac:dyDescent="0.35">
      <c r="A578">
        <v>577</v>
      </c>
      <c r="B578" t="s">
        <v>17</v>
      </c>
      <c r="C578">
        <v>17</v>
      </c>
      <c r="D578" t="s">
        <v>41</v>
      </c>
      <c r="E578" t="s">
        <v>19</v>
      </c>
      <c r="F578">
        <v>5</v>
      </c>
      <c r="G578">
        <v>0.91</v>
      </c>
      <c r="H578" t="s">
        <v>27</v>
      </c>
      <c r="I578">
        <v>17933</v>
      </c>
      <c r="J578" t="s">
        <v>21</v>
      </c>
      <c r="K578" t="s">
        <v>28</v>
      </c>
      <c r="L578">
        <v>3.61</v>
      </c>
      <c r="M578">
        <v>4.8600000000000003</v>
      </c>
      <c r="N578">
        <v>4.24</v>
      </c>
      <c r="O578" t="s">
        <v>34</v>
      </c>
      <c r="P578" t="s">
        <v>23</v>
      </c>
      <c r="Q578" t="s">
        <v>24</v>
      </c>
    </row>
    <row r="579" spans="1:17" x14ac:dyDescent="0.35">
      <c r="A579">
        <v>578</v>
      </c>
      <c r="B579" t="s">
        <v>25</v>
      </c>
      <c r="C579">
        <v>16</v>
      </c>
      <c r="D579" t="s">
        <v>39</v>
      </c>
      <c r="E579" t="s">
        <v>35</v>
      </c>
      <c r="F579">
        <v>27</v>
      </c>
      <c r="G579">
        <v>0.65</v>
      </c>
      <c r="H579" t="s">
        <v>31</v>
      </c>
      <c r="I579">
        <v>48244</v>
      </c>
      <c r="J579" t="s">
        <v>28</v>
      </c>
      <c r="K579" t="s">
        <v>21</v>
      </c>
      <c r="L579">
        <v>3.92</v>
      </c>
      <c r="M579">
        <v>4.7300000000000004</v>
      </c>
      <c r="N579">
        <v>4.3</v>
      </c>
      <c r="O579" t="s">
        <v>34</v>
      </c>
      <c r="P579" t="s">
        <v>32</v>
      </c>
      <c r="Q579" t="s">
        <v>24</v>
      </c>
    </row>
    <row r="580" spans="1:17" x14ac:dyDescent="0.35">
      <c r="A580">
        <v>579</v>
      </c>
      <c r="B580" t="s">
        <v>25</v>
      </c>
      <c r="C580">
        <v>16</v>
      </c>
      <c r="D580" t="s">
        <v>26</v>
      </c>
      <c r="E580" t="s">
        <v>19</v>
      </c>
      <c r="F580">
        <v>17</v>
      </c>
      <c r="G580">
        <v>0.97</v>
      </c>
      <c r="H580" t="s">
        <v>31</v>
      </c>
      <c r="I580">
        <v>56621</v>
      </c>
      <c r="J580" t="s">
        <v>28</v>
      </c>
      <c r="K580" t="s">
        <v>21</v>
      </c>
      <c r="L580">
        <v>3.56</v>
      </c>
      <c r="M580">
        <v>4.0199999999999996</v>
      </c>
      <c r="N580">
        <v>3.4</v>
      </c>
      <c r="O580" t="s">
        <v>36</v>
      </c>
      <c r="P580" t="s">
        <v>32</v>
      </c>
      <c r="Q580" t="s">
        <v>29</v>
      </c>
    </row>
    <row r="581" spans="1:17" x14ac:dyDescent="0.35">
      <c r="A581">
        <v>580</v>
      </c>
      <c r="B581" t="s">
        <v>25</v>
      </c>
      <c r="C581">
        <v>17</v>
      </c>
      <c r="D581" t="s">
        <v>42</v>
      </c>
      <c r="E581" t="s">
        <v>35</v>
      </c>
      <c r="F581">
        <v>19</v>
      </c>
      <c r="G581">
        <v>0.76</v>
      </c>
      <c r="H581" t="s">
        <v>20</v>
      </c>
      <c r="I581">
        <v>50696</v>
      </c>
      <c r="J581" t="s">
        <v>28</v>
      </c>
      <c r="K581" t="s">
        <v>21</v>
      </c>
      <c r="L581">
        <v>3.74</v>
      </c>
      <c r="M581">
        <v>4.71</v>
      </c>
      <c r="N581">
        <v>3.48</v>
      </c>
      <c r="O581" t="s">
        <v>36</v>
      </c>
      <c r="P581" t="s">
        <v>32</v>
      </c>
      <c r="Q581" t="s">
        <v>29</v>
      </c>
    </row>
    <row r="582" spans="1:17" x14ac:dyDescent="0.35">
      <c r="A582">
        <v>581</v>
      </c>
      <c r="B582" t="s">
        <v>25</v>
      </c>
      <c r="C582">
        <v>18</v>
      </c>
      <c r="D582" t="s">
        <v>30</v>
      </c>
      <c r="E582" t="s">
        <v>35</v>
      </c>
      <c r="F582">
        <v>9</v>
      </c>
      <c r="G582">
        <v>0.69</v>
      </c>
      <c r="H582" t="s">
        <v>27</v>
      </c>
      <c r="I582">
        <v>12080</v>
      </c>
      <c r="J582" t="s">
        <v>21</v>
      </c>
      <c r="K582" t="s">
        <v>28</v>
      </c>
      <c r="L582">
        <v>3.32</v>
      </c>
      <c r="M582">
        <v>4.03</v>
      </c>
      <c r="N582">
        <v>4.32</v>
      </c>
      <c r="O582" t="s">
        <v>34</v>
      </c>
      <c r="P582" t="s">
        <v>23</v>
      </c>
      <c r="Q582" t="s">
        <v>24</v>
      </c>
    </row>
    <row r="583" spans="1:17" x14ac:dyDescent="0.35">
      <c r="A583">
        <v>582</v>
      </c>
      <c r="B583" t="s">
        <v>17</v>
      </c>
      <c r="C583">
        <v>16</v>
      </c>
      <c r="D583" t="s">
        <v>18</v>
      </c>
      <c r="E583" t="s">
        <v>35</v>
      </c>
      <c r="F583">
        <v>25</v>
      </c>
      <c r="G583">
        <v>0.86</v>
      </c>
      <c r="H583" t="s">
        <v>27</v>
      </c>
      <c r="I583">
        <v>16089</v>
      </c>
      <c r="J583" t="s">
        <v>28</v>
      </c>
      <c r="K583" t="s">
        <v>28</v>
      </c>
      <c r="L583">
        <v>4.7699999999999996</v>
      </c>
      <c r="M583">
        <v>3.65</v>
      </c>
      <c r="N583">
        <v>4.82</v>
      </c>
      <c r="O583" t="s">
        <v>22</v>
      </c>
      <c r="P583" t="s">
        <v>32</v>
      </c>
      <c r="Q583" t="s">
        <v>24</v>
      </c>
    </row>
    <row r="584" spans="1:17" x14ac:dyDescent="0.35">
      <c r="A584">
        <v>583</v>
      </c>
      <c r="B584" t="s">
        <v>25</v>
      </c>
      <c r="C584">
        <v>15</v>
      </c>
      <c r="D584" t="s">
        <v>42</v>
      </c>
      <c r="E584" t="s">
        <v>19</v>
      </c>
      <c r="F584">
        <v>21</v>
      </c>
      <c r="G584">
        <v>0.94</v>
      </c>
      <c r="H584" t="s">
        <v>20</v>
      </c>
      <c r="I584">
        <v>36123</v>
      </c>
      <c r="J584" t="s">
        <v>28</v>
      </c>
      <c r="K584" t="s">
        <v>21</v>
      </c>
      <c r="L584">
        <v>3.02</v>
      </c>
      <c r="M584">
        <v>4.9400000000000004</v>
      </c>
      <c r="N584">
        <v>4.96</v>
      </c>
      <c r="O584" t="s">
        <v>22</v>
      </c>
      <c r="P584" t="s">
        <v>32</v>
      </c>
      <c r="Q584" t="s">
        <v>24</v>
      </c>
    </row>
    <row r="585" spans="1:17" x14ac:dyDescent="0.35">
      <c r="A585">
        <v>584</v>
      </c>
      <c r="B585" t="s">
        <v>25</v>
      </c>
      <c r="C585">
        <v>18</v>
      </c>
      <c r="D585" t="s">
        <v>30</v>
      </c>
      <c r="E585" t="s">
        <v>19</v>
      </c>
      <c r="F585">
        <v>29</v>
      </c>
      <c r="G585">
        <v>0.8</v>
      </c>
      <c r="H585" t="s">
        <v>40</v>
      </c>
      <c r="I585">
        <v>17797</v>
      </c>
      <c r="J585" t="s">
        <v>21</v>
      </c>
      <c r="K585" t="s">
        <v>28</v>
      </c>
      <c r="L585">
        <v>4.76</v>
      </c>
      <c r="M585">
        <v>4.4800000000000004</v>
      </c>
      <c r="N585">
        <v>3.4</v>
      </c>
      <c r="O585" t="s">
        <v>36</v>
      </c>
      <c r="P585" t="s">
        <v>32</v>
      </c>
      <c r="Q585" t="s">
        <v>29</v>
      </c>
    </row>
    <row r="586" spans="1:17" x14ac:dyDescent="0.35">
      <c r="A586">
        <v>585</v>
      </c>
      <c r="B586" t="s">
        <v>25</v>
      </c>
      <c r="C586">
        <v>16</v>
      </c>
      <c r="D586" t="s">
        <v>18</v>
      </c>
      <c r="E586" t="s">
        <v>35</v>
      </c>
      <c r="F586">
        <v>27</v>
      </c>
      <c r="G586">
        <v>0.84</v>
      </c>
      <c r="H586" t="s">
        <v>31</v>
      </c>
      <c r="I586">
        <v>18346</v>
      </c>
      <c r="J586" t="s">
        <v>21</v>
      </c>
      <c r="K586" t="s">
        <v>28</v>
      </c>
      <c r="L586">
        <v>4.1399999999999997</v>
      </c>
      <c r="M586">
        <v>4.18</v>
      </c>
      <c r="N586">
        <v>3.27</v>
      </c>
      <c r="O586" t="s">
        <v>36</v>
      </c>
      <c r="P586" t="s">
        <v>32</v>
      </c>
      <c r="Q586" t="s">
        <v>29</v>
      </c>
    </row>
    <row r="587" spans="1:17" x14ac:dyDescent="0.35">
      <c r="A587">
        <v>586</v>
      </c>
      <c r="B587" t="s">
        <v>17</v>
      </c>
      <c r="C587">
        <v>16</v>
      </c>
      <c r="D587" t="s">
        <v>42</v>
      </c>
      <c r="E587" t="s">
        <v>35</v>
      </c>
      <c r="F587">
        <v>28</v>
      </c>
      <c r="G587">
        <v>0.87</v>
      </c>
      <c r="H587" t="s">
        <v>40</v>
      </c>
      <c r="I587">
        <v>29878</v>
      </c>
      <c r="J587" t="s">
        <v>21</v>
      </c>
      <c r="K587" t="s">
        <v>28</v>
      </c>
      <c r="L587">
        <v>3.66</v>
      </c>
      <c r="M587">
        <v>4.0999999999999996</v>
      </c>
      <c r="N587">
        <v>3.11</v>
      </c>
      <c r="O587" t="s">
        <v>36</v>
      </c>
      <c r="P587" t="s">
        <v>32</v>
      </c>
      <c r="Q587" t="s">
        <v>29</v>
      </c>
    </row>
    <row r="588" spans="1:17" x14ac:dyDescent="0.35">
      <c r="A588">
        <v>587</v>
      </c>
      <c r="B588" t="s">
        <v>25</v>
      </c>
      <c r="C588">
        <v>15</v>
      </c>
      <c r="D588" t="s">
        <v>30</v>
      </c>
      <c r="E588" t="s">
        <v>35</v>
      </c>
      <c r="F588">
        <v>29</v>
      </c>
      <c r="G588">
        <v>0.74</v>
      </c>
      <c r="H588" t="s">
        <v>31</v>
      </c>
      <c r="I588">
        <v>43672</v>
      </c>
      <c r="J588" t="s">
        <v>21</v>
      </c>
      <c r="K588" t="s">
        <v>28</v>
      </c>
      <c r="L588">
        <v>4.45</v>
      </c>
      <c r="M588">
        <v>3.99</v>
      </c>
      <c r="N588">
        <v>4.74</v>
      </c>
      <c r="O588" t="s">
        <v>22</v>
      </c>
      <c r="P588" t="s">
        <v>32</v>
      </c>
      <c r="Q588" t="s">
        <v>24</v>
      </c>
    </row>
    <row r="589" spans="1:17" x14ac:dyDescent="0.35">
      <c r="A589">
        <v>588</v>
      </c>
      <c r="B589" t="s">
        <v>17</v>
      </c>
      <c r="C589">
        <v>15</v>
      </c>
      <c r="D589" t="s">
        <v>42</v>
      </c>
      <c r="E589" t="s">
        <v>19</v>
      </c>
      <c r="F589">
        <v>10</v>
      </c>
      <c r="G589">
        <v>0.63</v>
      </c>
      <c r="H589" t="s">
        <v>31</v>
      </c>
      <c r="I589">
        <v>27653</v>
      </c>
      <c r="J589" t="s">
        <v>21</v>
      </c>
      <c r="K589" t="s">
        <v>28</v>
      </c>
      <c r="L589">
        <v>4.0199999999999996</v>
      </c>
      <c r="M589">
        <v>4.97</v>
      </c>
      <c r="N589">
        <v>3.59</v>
      </c>
      <c r="O589" t="s">
        <v>34</v>
      </c>
      <c r="P589" t="s">
        <v>23</v>
      </c>
      <c r="Q589" t="s">
        <v>29</v>
      </c>
    </row>
    <row r="590" spans="1:17" x14ac:dyDescent="0.35">
      <c r="A590">
        <v>589</v>
      </c>
      <c r="B590" t="s">
        <v>25</v>
      </c>
      <c r="C590">
        <v>17</v>
      </c>
      <c r="D590" t="s">
        <v>42</v>
      </c>
      <c r="E590" t="s">
        <v>35</v>
      </c>
      <c r="F590">
        <v>25</v>
      </c>
      <c r="G590">
        <v>0.88</v>
      </c>
      <c r="H590" t="s">
        <v>40</v>
      </c>
      <c r="I590">
        <v>59556</v>
      </c>
      <c r="J590" t="s">
        <v>28</v>
      </c>
      <c r="K590" t="s">
        <v>28</v>
      </c>
      <c r="L590">
        <v>4</v>
      </c>
      <c r="M590">
        <v>3.7</v>
      </c>
      <c r="N590">
        <v>3</v>
      </c>
      <c r="O590" t="s">
        <v>36</v>
      </c>
      <c r="P590" t="s">
        <v>32</v>
      </c>
      <c r="Q590" t="s">
        <v>29</v>
      </c>
    </row>
    <row r="591" spans="1:17" x14ac:dyDescent="0.35">
      <c r="A591">
        <v>590</v>
      </c>
      <c r="B591" t="s">
        <v>17</v>
      </c>
      <c r="C591">
        <v>18</v>
      </c>
      <c r="D591" t="s">
        <v>18</v>
      </c>
      <c r="E591" t="s">
        <v>19</v>
      </c>
      <c r="F591">
        <v>26</v>
      </c>
      <c r="G591">
        <v>0.68</v>
      </c>
      <c r="H591" t="s">
        <v>20</v>
      </c>
      <c r="I591">
        <v>52742</v>
      </c>
      <c r="J591" t="s">
        <v>28</v>
      </c>
      <c r="K591" t="s">
        <v>21</v>
      </c>
      <c r="L591">
        <v>3.22</v>
      </c>
      <c r="M591">
        <v>3.97</v>
      </c>
      <c r="N591">
        <v>3.45</v>
      </c>
      <c r="O591" t="s">
        <v>36</v>
      </c>
      <c r="P591" t="s">
        <v>32</v>
      </c>
      <c r="Q591" t="s">
        <v>24</v>
      </c>
    </row>
    <row r="592" spans="1:17" x14ac:dyDescent="0.35">
      <c r="A592">
        <v>591</v>
      </c>
      <c r="B592" t="s">
        <v>17</v>
      </c>
      <c r="C592">
        <v>18</v>
      </c>
      <c r="D592" t="s">
        <v>42</v>
      </c>
      <c r="E592" t="s">
        <v>35</v>
      </c>
      <c r="F592">
        <v>15</v>
      </c>
      <c r="G592">
        <v>0.86</v>
      </c>
      <c r="H592" t="s">
        <v>20</v>
      </c>
      <c r="I592">
        <v>36140</v>
      </c>
      <c r="J592" t="s">
        <v>28</v>
      </c>
      <c r="K592" t="s">
        <v>28</v>
      </c>
      <c r="L592">
        <v>3.78</v>
      </c>
      <c r="M592">
        <v>4.2300000000000004</v>
      </c>
      <c r="N592">
        <v>3.68</v>
      </c>
      <c r="O592" t="s">
        <v>34</v>
      </c>
      <c r="P592" t="s">
        <v>32</v>
      </c>
      <c r="Q592" t="s">
        <v>29</v>
      </c>
    </row>
    <row r="593" spans="1:17" x14ac:dyDescent="0.35">
      <c r="A593">
        <v>592</v>
      </c>
      <c r="B593" t="s">
        <v>25</v>
      </c>
      <c r="C593">
        <v>17</v>
      </c>
      <c r="D593" t="s">
        <v>42</v>
      </c>
      <c r="E593" t="s">
        <v>35</v>
      </c>
      <c r="F593">
        <v>22</v>
      </c>
      <c r="G593">
        <v>0.85</v>
      </c>
      <c r="H593" t="s">
        <v>31</v>
      </c>
      <c r="I593">
        <v>11184</v>
      </c>
      <c r="J593" t="s">
        <v>21</v>
      </c>
      <c r="K593" t="s">
        <v>28</v>
      </c>
      <c r="L593">
        <v>3.48</v>
      </c>
      <c r="M593">
        <v>4.22</v>
      </c>
      <c r="N593">
        <v>4.9800000000000004</v>
      </c>
      <c r="O593" t="s">
        <v>22</v>
      </c>
      <c r="P593" t="s">
        <v>32</v>
      </c>
      <c r="Q593" t="s">
        <v>24</v>
      </c>
    </row>
    <row r="594" spans="1:17" x14ac:dyDescent="0.35">
      <c r="A594">
        <v>593</v>
      </c>
      <c r="B594" t="s">
        <v>17</v>
      </c>
      <c r="C594">
        <v>18</v>
      </c>
      <c r="D594" t="s">
        <v>18</v>
      </c>
      <c r="E594" t="s">
        <v>35</v>
      </c>
      <c r="F594">
        <v>8</v>
      </c>
      <c r="G594">
        <v>0.78</v>
      </c>
      <c r="H594" t="s">
        <v>20</v>
      </c>
      <c r="I594">
        <v>44493</v>
      </c>
      <c r="J594" t="s">
        <v>28</v>
      </c>
      <c r="K594" t="s">
        <v>21</v>
      </c>
      <c r="L594">
        <v>3.03</v>
      </c>
      <c r="M594">
        <v>4.21</v>
      </c>
      <c r="N594">
        <v>4.05</v>
      </c>
      <c r="O594" t="s">
        <v>34</v>
      </c>
      <c r="P594" t="s">
        <v>23</v>
      </c>
      <c r="Q594" t="s">
        <v>24</v>
      </c>
    </row>
    <row r="595" spans="1:17" x14ac:dyDescent="0.35">
      <c r="A595">
        <v>594</v>
      </c>
      <c r="B595" t="s">
        <v>25</v>
      </c>
      <c r="C595">
        <v>18</v>
      </c>
      <c r="D595" t="s">
        <v>26</v>
      </c>
      <c r="E595" t="s">
        <v>35</v>
      </c>
      <c r="F595">
        <v>7</v>
      </c>
      <c r="G595">
        <v>0.87</v>
      </c>
      <c r="H595" t="s">
        <v>31</v>
      </c>
      <c r="I595">
        <v>54148</v>
      </c>
      <c r="J595" t="s">
        <v>21</v>
      </c>
      <c r="K595" t="s">
        <v>21</v>
      </c>
      <c r="L595">
        <v>3.72</v>
      </c>
      <c r="M595">
        <v>3.76</v>
      </c>
      <c r="N595">
        <v>3.41</v>
      </c>
      <c r="O595" t="s">
        <v>36</v>
      </c>
      <c r="P595" t="s">
        <v>23</v>
      </c>
      <c r="Q595" t="s">
        <v>29</v>
      </c>
    </row>
    <row r="596" spans="1:17" x14ac:dyDescent="0.35">
      <c r="A596">
        <v>595</v>
      </c>
      <c r="B596" t="s">
        <v>25</v>
      </c>
      <c r="C596">
        <v>18</v>
      </c>
      <c r="D596" t="s">
        <v>41</v>
      </c>
      <c r="E596" t="s">
        <v>35</v>
      </c>
      <c r="F596">
        <v>17</v>
      </c>
      <c r="G596">
        <v>0.76</v>
      </c>
      <c r="H596" t="s">
        <v>20</v>
      </c>
      <c r="I596">
        <v>34846</v>
      </c>
      <c r="J596" t="s">
        <v>21</v>
      </c>
      <c r="K596" t="s">
        <v>21</v>
      </c>
      <c r="L596">
        <v>3.18</v>
      </c>
      <c r="M596">
        <v>3.72</v>
      </c>
      <c r="N596">
        <v>3.67</v>
      </c>
      <c r="O596" t="s">
        <v>34</v>
      </c>
      <c r="P596" t="s">
        <v>32</v>
      </c>
      <c r="Q596" t="s">
        <v>24</v>
      </c>
    </row>
    <row r="597" spans="1:17" x14ac:dyDescent="0.35">
      <c r="A597">
        <v>596</v>
      </c>
      <c r="B597" t="s">
        <v>25</v>
      </c>
      <c r="C597">
        <v>18</v>
      </c>
      <c r="D597" t="s">
        <v>33</v>
      </c>
      <c r="E597" t="s">
        <v>35</v>
      </c>
      <c r="F597">
        <v>27</v>
      </c>
      <c r="G597">
        <v>0.79</v>
      </c>
      <c r="H597" t="s">
        <v>31</v>
      </c>
      <c r="I597">
        <v>55825</v>
      </c>
      <c r="J597" t="s">
        <v>28</v>
      </c>
      <c r="K597" t="s">
        <v>21</v>
      </c>
      <c r="L597">
        <v>3.51</v>
      </c>
      <c r="M597">
        <v>3.88</v>
      </c>
      <c r="N597">
        <v>3.66</v>
      </c>
      <c r="O597" t="s">
        <v>34</v>
      </c>
      <c r="P597" t="s">
        <v>32</v>
      </c>
      <c r="Q597" t="s">
        <v>24</v>
      </c>
    </row>
    <row r="598" spans="1:17" x14ac:dyDescent="0.35">
      <c r="A598">
        <v>597</v>
      </c>
      <c r="B598" t="s">
        <v>17</v>
      </c>
      <c r="C598">
        <v>18</v>
      </c>
      <c r="D598" t="s">
        <v>37</v>
      </c>
      <c r="E598" t="s">
        <v>19</v>
      </c>
      <c r="F598">
        <v>13</v>
      </c>
      <c r="G598">
        <v>0.99</v>
      </c>
      <c r="H598" t="s">
        <v>20</v>
      </c>
      <c r="I598">
        <v>32195</v>
      </c>
      <c r="J598" t="s">
        <v>21</v>
      </c>
      <c r="K598" t="s">
        <v>28</v>
      </c>
      <c r="L598">
        <v>3.19</v>
      </c>
      <c r="M598">
        <v>4.87</v>
      </c>
      <c r="N598">
        <v>3.04</v>
      </c>
      <c r="O598" t="s">
        <v>36</v>
      </c>
      <c r="P598" t="s">
        <v>23</v>
      </c>
      <c r="Q598" t="s">
        <v>29</v>
      </c>
    </row>
    <row r="599" spans="1:17" x14ac:dyDescent="0.35">
      <c r="A599">
        <v>598</v>
      </c>
      <c r="B599" t="s">
        <v>17</v>
      </c>
      <c r="C599">
        <v>15</v>
      </c>
      <c r="D599" t="s">
        <v>39</v>
      </c>
      <c r="E599" t="s">
        <v>35</v>
      </c>
      <c r="F599">
        <v>25</v>
      </c>
      <c r="G599">
        <v>0.98</v>
      </c>
      <c r="H599" t="s">
        <v>27</v>
      </c>
      <c r="I599">
        <v>15606</v>
      </c>
      <c r="J599" t="s">
        <v>21</v>
      </c>
      <c r="K599" t="s">
        <v>28</v>
      </c>
      <c r="L599">
        <v>3.2</v>
      </c>
      <c r="M599">
        <v>3.67</v>
      </c>
      <c r="N599">
        <v>3.27</v>
      </c>
      <c r="O599" t="s">
        <v>36</v>
      </c>
      <c r="P599" t="s">
        <v>32</v>
      </c>
      <c r="Q599" t="s">
        <v>24</v>
      </c>
    </row>
    <row r="600" spans="1:17" x14ac:dyDescent="0.35">
      <c r="A600">
        <v>599</v>
      </c>
      <c r="B600" t="s">
        <v>25</v>
      </c>
      <c r="C600">
        <v>18</v>
      </c>
      <c r="D600" t="s">
        <v>37</v>
      </c>
      <c r="E600" t="s">
        <v>19</v>
      </c>
      <c r="F600">
        <v>10</v>
      </c>
      <c r="G600">
        <v>0.82</v>
      </c>
      <c r="H600" t="s">
        <v>40</v>
      </c>
      <c r="I600">
        <v>13956</v>
      </c>
      <c r="J600" t="s">
        <v>28</v>
      </c>
      <c r="K600" t="s">
        <v>28</v>
      </c>
      <c r="L600">
        <v>3.4</v>
      </c>
      <c r="M600">
        <v>4.6399999999999997</v>
      </c>
      <c r="N600">
        <v>4.3899999999999997</v>
      </c>
      <c r="O600" t="s">
        <v>34</v>
      </c>
      <c r="P600" t="s">
        <v>23</v>
      </c>
      <c r="Q600" t="s">
        <v>24</v>
      </c>
    </row>
    <row r="601" spans="1:17" x14ac:dyDescent="0.35">
      <c r="A601">
        <v>600</v>
      </c>
      <c r="B601" t="s">
        <v>25</v>
      </c>
      <c r="C601">
        <v>15</v>
      </c>
      <c r="D601" t="s">
        <v>37</v>
      </c>
      <c r="E601" t="s">
        <v>35</v>
      </c>
      <c r="F601">
        <v>16</v>
      </c>
      <c r="G601">
        <v>0.91</v>
      </c>
      <c r="H601" t="s">
        <v>27</v>
      </c>
      <c r="I601">
        <v>26555</v>
      </c>
      <c r="J601" t="s">
        <v>21</v>
      </c>
      <c r="K601" t="s">
        <v>28</v>
      </c>
      <c r="L601">
        <v>5</v>
      </c>
      <c r="M601">
        <v>4.6399999999999997</v>
      </c>
      <c r="N601">
        <v>3.24</v>
      </c>
      <c r="O601" t="s">
        <v>36</v>
      </c>
      <c r="P601" t="s">
        <v>32</v>
      </c>
      <c r="Q601" t="s">
        <v>29</v>
      </c>
    </row>
    <row r="602" spans="1:17" x14ac:dyDescent="0.35">
      <c r="A602">
        <v>601</v>
      </c>
      <c r="B602" t="s">
        <v>17</v>
      </c>
      <c r="C602">
        <v>18</v>
      </c>
      <c r="D602" t="s">
        <v>30</v>
      </c>
      <c r="E602" t="s">
        <v>35</v>
      </c>
      <c r="F602">
        <v>6</v>
      </c>
      <c r="G602">
        <v>0.92</v>
      </c>
      <c r="H602" t="s">
        <v>40</v>
      </c>
      <c r="I602">
        <v>34849</v>
      </c>
      <c r="J602" t="s">
        <v>21</v>
      </c>
      <c r="K602" t="s">
        <v>21</v>
      </c>
      <c r="L602">
        <v>3</v>
      </c>
      <c r="M602">
        <v>4.71</v>
      </c>
      <c r="N602">
        <v>3.46</v>
      </c>
      <c r="O602" t="s">
        <v>36</v>
      </c>
      <c r="P602" t="s">
        <v>23</v>
      </c>
      <c r="Q602" t="s">
        <v>24</v>
      </c>
    </row>
    <row r="603" spans="1:17" x14ac:dyDescent="0.35">
      <c r="A603">
        <v>602</v>
      </c>
      <c r="B603" t="s">
        <v>25</v>
      </c>
      <c r="C603">
        <v>17</v>
      </c>
      <c r="D603" t="s">
        <v>41</v>
      </c>
      <c r="E603" t="s">
        <v>19</v>
      </c>
      <c r="F603">
        <v>7</v>
      </c>
      <c r="G603">
        <v>0.64</v>
      </c>
      <c r="H603" t="s">
        <v>40</v>
      </c>
      <c r="I603">
        <v>28690</v>
      </c>
      <c r="J603" t="s">
        <v>28</v>
      </c>
      <c r="K603" t="s">
        <v>28</v>
      </c>
      <c r="L603">
        <v>4.28</v>
      </c>
      <c r="M603">
        <v>4.83</v>
      </c>
      <c r="N603">
        <v>3.7</v>
      </c>
      <c r="O603" t="s">
        <v>34</v>
      </c>
      <c r="P603" t="s">
        <v>23</v>
      </c>
      <c r="Q603" t="s">
        <v>29</v>
      </c>
    </row>
    <row r="604" spans="1:17" x14ac:dyDescent="0.35">
      <c r="A604">
        <v>603</v>
      </c>
      <c r="B604" t="s">
        <v>25</v>
      </c>
      <c r="C604">
        <v>16</v>
      </c>
      <c r="D604" t="s">
        <v>30</v>
      </c>
      <c r="E604" t="s">
        <v>35</v>
      </c>
      <c r="F604">
        <v>7</v>
      </c>
      <c r="G604">
        <v>0.93</v>
      </c>
      <c r="H604" t="s">
        <v>31</v>
      </c>
      <c r="I604">
        <v>58849</v>
      </c>
      <c r="J604" t="s">
        <v>21</v>
      </c>
      <c r="K604" t="s">
        <v>28</v>
      </c>
      <c r="L604">
        <v>3.28</v>
      </c>
      <c r="M604">
        <v>3.89</v>
      </c>
      <c r="N604">
        <v>4.5199999999999996</v>
      </c>
      <c r="O604" t="s">
        <v>22</v>
      </c>
      <c r="P604" t="s">
        <v>23</v>
      </c>
      <c r="Q604" t="s">
        <v>24</v>
      </c>
    </row>
    <row r="605" spans="1:17" x14ac:dyDescent="0.35">
      <c r="A605">
        <v>604</v>
      </c>
      <c r="B605" t="s">
        <v>25</v>
      </c>
      <c r="C605">
        <v>15</v>
      </c>
      <c r="D605" t="s">
        <v>41</v>
      </c>
      <c r="E605" t="s">
        <v>19</v>
      </c>
      <c r="F605">
        <v>16</v>
      </c>
      <c r="G605">
        <v>0.99</v>
      </c>
      <c r="H605" t="s">
        <v>40</v>
      </c>
      <c r="I605">
        <v>36347</v>
      </c>
      <c r="J605" t="s">
        <v>21</v>
      </c>
      <c r="K605" t="s">
        <v>21</v>
      </c>
      <c r="L605">
        <v>4.84</v>
      </c>
      <c r="M605">
        <v>3.84</v>
      </c>
      <c r="N605">
        <v>4.16</v>
      </c>
      <c r="O605" t="s">
        <v>34</v>
      </c>
      <c r="P605" t="s">
        <v>32</v>
      </c>
      <c r="Q605" t="s">
        <v>29</v>
      </c>
    </row>
    <row r="606" spans="1:17" x14ac:dyDescent="0.35">
      <c r="A606">
        <v>605</v>
      </c>
      <c r="B606" t="s">
        <v>17</v>
      </c>
      <c r="C606">
        <v>18</v>
      </c>
      <c r="D606" t="s">
        <v>18</v>
      </c>
      <c r="E606" t="s">
        <v>19</v>
      </c>
      <c r="F606">
        <v>19</v>
      </c>
      <c r="G606">
        <v>0.7</v>
      </c>
      <c r="H606" t="s">
        <v>27</v>
      </c>
      <c r="I606">
        <v>43189</v>
      </c>
      <c r="J606" t="s">
        <v>28</v>
      </c>
      <c r="K606" t="s">
        <v>28</v>
      </c>
      <c r="L606">
        <v>3.19</v>
      </c>
      <c r="M606">
        <v>4.2</v>
      </c>
      <c r="N606">
        <v>4.38</v>
      </c>
      <c r="O606" t="s">
        <v>34</v>
      </c>
      <c r="P606" t="s">
        <v>32</v>
      </c>
      <c r="Q606" t="s">
        <v>24</v>
      </c>
    </row>
    <row r="607" spans="1:17" x14ac:dyDescent="0.35">
      <c r="A607">
        <v>606</v>
      </c>
      <c r="B607" t="s">
        <v>17</v>
      </c>
      <c r="C607">
        <v>17</v>
      </c>
      <c r="D607" t="s">
        <v>18</v>
      </c>
      <c r="E607" t="s">
        <v>35</v>
      </c>
      <c r="F607">
        <v>13</v>
      </c>
      <c r="G607">
        <v>0.62</v>
      </c>
      <c r="H607" t="s">
        <v>27</v>
      </c>
      <c r="I607">
        <v>48308</v>
      </c>
      <c r="J607" t="s">
        <v>28</v>
      </c>
      <c r="K607" t="s">
        <v>28</v>
      </c>
      <c r="L607">
        <v>4.91</v>
      </c>
      <c r="M607">
        <v>3.9</v>
      </c>
      <c r="N607">
        <v>4.13</v>
      </c>
      <c r="O607" t="s">
        <v>34</v>
      </c>
      <c r="P607" t="s">
        <v>23</v>
      </c>
      <c r="Q607" t="s">
        <v>29</v>
      </c>
    </row>
    <row r="608" spans="1:17" x14ac:dyDescent="0.35">
      <c r="A608">
        <v>607</v>
      </c>
      <c r="B608" t="s">
        <v>17</v>
      </c>
      <c r="C608">
        <v>16</v>
      </c>
      <c r="D608" t="s">
        <v>33</v>
      </c>
      <c r="E608" t="s">
        <v>19</v>
      </c>
      <c r="F608">
        <v>27</v>
      </c>
      <c r="G608">
        <v>0.92</v>
      </c>
      <c r="H608" t="s">
        <v>20</v>
      </c>
      <c r="I608">
        <v>35785</v>
      </c>
      <c r="J608" t="s">
        <v>28</v>
      </c>
      <c r="K608" t="s">
        <v>28</v>
      </c>
      <c r="L608">
        <v>4.22</v>
      </c>
      <c r="M608">
        <v>4.5999999999999996</v>
      </c>
      <c r="N608">
        <v>4.37</v>
      </c>
      <c r="O608" t="s">
        <v>34</v>
      </c>
      <c r="P608" t="s">
        <v>32</v>
      </c>
      <c r="Q608" t="s">
        <v>24</v>
      </c>
    </row>
    <row r="609" spans="1:17" x14ac:dyDescent="0.35">
      <c r="A609">
        <v>608</v>
      </c>
      <c r="B609" t="s">
        <v>25</v>
      </c>
      <c r="C609">
        <v>15</v>
      </c>
      <c r="D609" t="s">
        <v>41</v>
      </c>
      <c r="E609" t="s">
        <v>19</v>
      </c>
      <c r="F609">
        <v>12</v>
      </c>
      <c r="G609">
        <v>0.7</v>
      </c>
      <c r="H609" t="s">
        <v>27</v>
      </c>
      <c r="I609">
        <v>59056</v>
      </c>
      <c r="J609" t="s">
        <v>28</v>
      </c>
      <c r="K609" t="s">
        <v>28</v>
      </c>
      <c r="L609">
        <v>3</v>
      </c>
      <c r="M609">
        <v>4.45</v>
      </c>
      <c r="N609">
        <v>3.01</v>
      </c>
      <c r="O609" t="s">
        <v>36</v>
      </c>
      <c r="P609" t="s">
        <v>23</v>
      </c>
      <c r="Q609" t="s">
        <v>24</v>
      </c>
    </row>
    <row r="610" spans="1:17" x14ac:dyDescent="0.35">
      <c r="A610">
        <v>609</v>
      </c>
      <c r="B610" t="s">
        <v>25</v>
      </c>
      <c r="C610">
        <v>16</v>
      </c>
      <c r="D610" t="s">
        <v>42</v>
      </c>
      <c r="E610" t="s">
        <v>35</v>
      </c>
      <c r="F610">
        <v>15</v>
      </c>
      <c r="G610">
        <v>0.75</v>
      </c>
      <c r="H610" t="s">
        <v>20</v>
      </c>
      <c r="I610">
        <v>42698</v>
      </c>
      <c r="J610" t="s">
        <v>21</v>
      </c>
      <c r="K610" t="s">
        <v>21</v>
      </c>
      <c r="L610">
        <v>4.79</v>
      </c>
      <c r="M610">
        <v>4.8099999999999996</v>
      </c>
      <c r="N610">
        <v>4.8600000000000003</v>
      </c>
      <c r="O610" t="s">
        <v>22</v>
      </c>
      <c r="P610" t="s">
        <v>32</v>
      </c>
      <c r="Q610" t="s">
        <v>24</v>
      </c>
    </row>
    <row r="611" spans="1:17" x14ac:dyDescent="0.35">
      <c r="A611">
        <v>610</v>
      </c>
      <c r="B611" t="s">
        <v>25</v>
      </c>
      <c r="C611">
        <v>17</v>
      </c>
      <c r="D611" t="s">
        <v>26</v>
      </c>
      <c r="E611" t="s">
        <v>19</v>
      </c>
      <c r="F611">
        <v>20</v>
      </c>
      <c r="G611">
        <v>0.77</v>
      </c>
      <c r="H611" t="s">
        <v>40</v>
      </c>
      <c r="I611">
        <v>25966</v>
      </c>
      <c r="J611" t="s">
        <v>21</v>
      </c>
      <c r="K611" t="s">
        <v>21</v>
      </c>
      <c r="L611">
        <v>4.04</v>
      </c>
      <c r="M611">
        <v>3.62</v>
      </c>
      <c r="N611">
        <v>3.22</v>
      </c>
      <c r="O611" t="s">
        <v>36</v>
      </c>
      <c r="P611" t="s">
        <v>32</v>
      </c>
      <c r="Q611" t="s">
        <v>29</v>
      </c>
    </row>
    <row r="612" spans="1:17" x14ac:dyDescent="0.35">
      <c r="A612">
        <v>611</v>
      </c>
      <c r="B612" t="s">
        <v>17</v>
      </c>
      <c r="C612">
        <v>15</v>
      </c>
      <c r="D612" t="s">
        <v>33</v>
      </c>
      <c r="E612" t="s">
        <v>35</v>
      </c>
      <c r="F612">
        <v>29</v>
      </c>
      <c r="G612">
        <v>0.89</v>
      </c>
      <c r="H612" t="s">
        <v>27</v>
      </c>
      <c r="I612">
        <v>41097</v>
      </c>
      <c r="J612" t="s">
        <v>28</v>
      </c>
      <c r="K612" t="s">
        <v>21</v>
      </c>
      <c r="L612">
        <v>3.53</v>
      </c>
      <c r="M612">
        <v>4.87</v>
      </c>
      <c r="N612">
        <v>3.81</v>
      </c>
      <c r="O612" t="s">
        <v>34</v>
      </c>
      <c r="P612" t="s">
        <v>32</v>
      </c>
      <c r="Q612" t="s">
        <v>24</v>
      </c>
    </row>
    <row r="613" spans="1:17" x14ac:dyDescent="0.35">
      <c r="A613">
        <v>612</v>
      </c>
      <c r="B613" t="s">
        <v>25</v>
      </c>
      <c r="C613">
        <v>16</v>
      </c>
      <c r="D613" t="s">
        <v>33</v>
      </c>
      <c r="E613" t="s">
        <v>35</v>
      </c>
      <c r="F613">
        <v>26</v>
      </c>
      <c r="G613">
        <v>0.69</v>
      </c>
      <c r="H613" t="s">
        <v>40</v>
      </c>
      <c r="I613">
        <v>25882</v>
      </c>
      <c r="J613" t="s">
        <v>21</v>
      </c>
      <c r="K613" t="s">
        <v>21</v>
      </c>
      <c r="L613">
        <v>4.53</v>
      </c>
      <c r="M613">
        <v>3.94</v>
      </c>
      <c r="N613">
        <v>4.54</v>
      </c>
      <c r="O613" t="s">
        <v>22</v>
      </c>
      <c r="P613" t="s">
        <v>32</v>
      </c>
      <c r="Q613" t="s">
        <v>24</v>
      </c>
    </row>
    <row r="614" spans="1:17" x14ac:dyDescent="0.35">
      <c r="A614">
        <v>613</v>
      </c>
      <c r="B614" t="s">
        <v>25</v>
      </c>
      <c r="C614">
        <v>18</v>
      </c>
      <c r="D614" t="s">
        <v>42</v>
      </c>
      <c r="E614" t="s">
        <v>35</v>
      </c>
      <c r="F614">
        <v>8</v>
      </c>
      <c r="G614">
        <v>0.77</v>
      </c>
      <c r="H614" t="s">
        <v>27</v>
      </c>
      <c r="I614">
        <v>14675</v>
      </c>
      <c r="J614" t="s">
        <v>21</v>
      </c>
      <c r="K614" t="s">
        <v>21</v>
      </c>
      <c r="L614">
        <v>4.8499999999999996</v>
      </c>
      <c r="M614">
        <v>4.24</v>
      </c>
      <c r="N614">
        <v>3.87</v>
      </c>
      <c r="O614" t="s">
        <v>34</v>
      </c>
      <c r="P614" t="s">
        <v>23</v>
      </c>
      <c r="Q614" t="s">
        <v>29</v>
      </c>
    </row>
    <row r="615" spans="1:17" x14ac:dyDescent="0.35">
      <c r="A615">
        <v>614</v>
      </c>
      <c r="B615" t="s">
        <v>25</v>
      </c>
      <c r="C615">
        <v>15</v>
      </c>
      <c r="D615" t="s">
        <v>26</v>
      </c>
      <c r="E615" t="s">
        <v>35</v>
      </c>
      <c r="F615">
        <v>5</v>
      </c>
      <c r="G615">
        <v>0.97</v>
      </c>
      <c r="H615" t="s">
        <v>27</v>
      </c>
      <c r="I615">
        <v>51850</v>
      </c>
      <c r="J615" t="s">
        <v>28</v>
      </c>
      <c r="K615" t="s">
        <v>28</v>
      </c>
      <c r="L615">
        <v>3.97</v>
      </c>
      <c r="M615">
        <v>4.16</v>
      </c>
      <c r="N615">
        <v>4.8899999999999997</v>
      </c>
      <c r="O615" t="s">
        <v>22</v>
      </c>
      <c r="P615" t="s">
        <v>23</v>
      </c>
      <c r="Q615" t="s">
        <v>24</v>
      </c>
    </row>
    <row r="616" spans="1:17" x14ac:dyDescent="0.35">
      <c r="A616">
        <v>615</v>
      </c>
      <c r="B616" t="s">
        <v>25</v>
      </c>
      <c r="C616">
        <v>16</v>
      </c>
      <c r="D616" t="s">
        <v>30</v>
      </c>
      <c r="E616" t="s">
        <v>19</v>
      </c>
      <c r="F616">
        <v>28</v>
      </c>
      <c r="G616">
        <v>0.78</v>
      </c>
      <c r="H616" t="s">
        <v>20</v>
      </c>
      <c r="I616">
        <v>23009</v>
      </c>
      <c r="J616" t="s">
        <v>28</v>
      </c>
      <c r="K616" t="s">
        <v>28</v>
      </c>
      <c r="L616">
        <v>3.63</v>
      </c>
      <c r="M616">
        <v>4.6399999999999997</v>
      </c>
      <c r="N616">
        <v>3.94</v>
      </c>
      <c r="O616" t="s">
        <v>34</v>
      </c>
      <c r="P616" t="s">
        <v>32</v>
      </c>
      <c r="Q616" t="s">
        <v>24</v>
      </c>
    </row>
    <row r="617" spans="1:17" x14ac:dyDescent="0.35">
      <c r="A617">
        <v>616</v>
      </c>
      <c r="B617" t="s">
        <v>17</v>
      </c>
      <c r="C617">
        <v>17</v>
      </c>
      <c r="D617" t="s">
        <v>26</v>
      </c>
      <c r="E617" t="s">
        <v>35</v>
      </c>
      <c r="F617">
        <v>11</v>
      </c>
      <c r="G617">
        <v>0.95</v>
      </c>
      <c r="H617" t="s">
        <v>40</v>
      </c>
      <c r="I617">
        <v>37843</v>
      </c>
      <c r="J617" t="s">
        <v>21</v>
      </c>
      <c r="K617" t="s">
        <v>21</v>
      </c>
      <c r="L617">
        <v>4.58</v>
      </c>
      <c r="M617">
        <v>4.13</v>
      </c>
      <c r="N617">
        <v>4.75</v>
      </c>
      <c r="O617" t="s">
        <v>22</v>
      </c>
      <c r="P617" t="s">
        <v>23</v>
      </c>
      <c r="Q617" t="s">
        <v>24</v>
      </c>
    </row>
    <row r="618" spans="1:17" x14ac:dyDescent="0.35">
      <c r="A618">
        <v>617</v>
      </c>
      <c r="B618" t="s">
        <v>17</v>
      </c>
      <c r="C618">
        <v>17</v>
      </c>
      <c r="D618" t="s">
        <v>30</v>
      </c>
      <c r="E618" t="s">
        <v>35</v>
      </c>
      <c r="F618">
        <v>6</v>
      </c>
      <c r="G618">
        <v>0.72</v>
      </c>
      <c r="H618" t="s">
        <v>27</v>
      </c>
      <c r="I618">
        <v>39793</v>
      </c>
      <c r="J618" t="s">
        <v>28</v>
      </c>
      <c r="K618" t="s">
        <v>21</v>
      </c>
      <c r="L618">
        <v>4.3600000000000003</v>
      </c>
      <c r="M618">
        <v>4.92</v>
      </c>
      <c r="N618">
        <v>4.62</v>
      </c>
      <c r="O618" t="s">
        <v>22</v>
      </c>
      <c r="P618" t="s">
        <v>23</v>
      </c>
      <c r="Q618" t="s">
        <v>24</v>
      </c>
    </row>
    <row r="619" spans="1:17" x14ac:dyDescent="0.35">
      <c r="A619">
        <v>618</v>
      </c>
      <c r="B619" t="s">
        <v>25</v>
      </c>
      <c r="C619">
        <v>15</v>
      </c>
      <c r="D619" t="s">
        <v>18</v>
      </c>
      <c r="E619" t="s">
        <v>19</v>
      </c>
      <c r="F619">
        <v>28</v>
      </c>
      <c r="G619">
        <v>0.62</v>
      </c>
      <c r="H619" t="s">
        <v>31</v>
      </c>
      <c r="I619">
        <v>49516</v>
      </c>
      <c r="J619" t="s">
        <v>28</v>
      </c>
      <c r="K619" t="s">
        <v>21</v>
      </c>
      <c r="L619">
        <v>4.78</v>
      </c>
      <c r="M619">
        <v>4.8499999999999996</v>
      </c>
      <c r="N619">
        <v>4.96</v>
      </c>
      <c r="O619" t="s">
        <v>22</v>
      </c>
      <c r="P619" t="s">
        <v>32</v>
      </c>
      <c r="Q619" t="s">
        <v>24</v>
      </c>
    </row>
    <row r="620" spans="1:17" x14ac:dyDescent="0.35">
      <c r="A620">
        <v>619</v>
      </c>
      <c r="B620" t="s">
        <v>17</v>
      </c>
      <c r="C620">
        <v>16</v>
      </c>
      <c r="D620" t="s">
        <v>37</v>
      </c>
      <c r="E620" t="s">
        <v>35</v>
      </c>
      <c r="F620">
        <v>9</v>
      </c>
      <c r="G620">
        <v>0.69</v>
      </c>
      <c r="H620" t="s">
        <v>40</v>
      </c>
      <c r="I620">
        <v>48871</v>
      </c>
      <c r="J620" t="s">
        <v>28</v>
      </c>
      <c r="K620" t="s">
        <v>28</v>
      </c>
      <c r="L620">
        <v>4.3899999999999997</v>
      </c>
      <c r="M620">
        <v>4.8099999999999996</v>
      </c>
      <c r="N620">
        <v>4.8499999999999996</v>
      </c>
      <c r="O620" t="s">
        <v>22</v>
      </c>
      <c r="P620" t="s">
        <v>23</v>
      </c>
      <c r="Q620" t="s">
        <v>24</v>
      </c>
    </row>
    <row r="621" spans="1:17" x14ac:dyDescent="0.35">
      <c r="A621">
        <v>620</v>
      </c>
      <c r="B621" t="s">
        <v>17</v>
      </c>
      <c r="C621">
        <v>15</v>
      </c>
      <c r="D621" t="s">
        <v>18</v>
      </c>
      <c r="E621" t="s">
        <v>35</v>
      </c>
      <c r="F621">
        <v>11</v>
      </c>
      <c r="G621">
        <v>0.97</v>
      </c>
      <c r="H621" t="s">
        <v>40</v>
      </c>
      <c r="I621">
        <v>27857</v>
      </c>
      <c r="J621" t="s">
        <v>21</v>
      </c>
      <c r="K621" t="s">
        <v>21</v>
      </c>
      <c r="L621">
        <v>3.49</v>
      </c>
      <c r="M621">
        <v>3.61</v>
      </c>
      <c r="N621">
        <v>4.8</v>
      </c>
      <c r="O621" t="s">
        <v>22</v>
      </c>
      <c r="P621" t="s">
        <v>23</v>
      </c>
      <c r="Q621" t="s">
        <v>24</v>
      </c>
    </row>
    <row r="622" spans="1:17" x14ac:dyDescent="0.35">
      <c r="A622">
        <v>621</v>
      </c>
      <c r="B622" t="s">
        <v>25</v>
      </c>
      <c r="C622">
        <v>15</v>
      </c>
      <c r="D622" t="s">
        <v>18</v>
      </c>
      <c r="E622" t="s">
        <v>19</v>
      </c>
      <c r="F622">
        <v>8</v>
      </c>
      <c r="G622">
        <v>0.6</v>
      </c>
      <c r="H622" t="s">
        <v>40</v>
      </c>
      <c r="I622">
        <v>29627</v>
      </c>
      <c r="J622" t="s">
        <v>28</v>
      </c>
      <c r="K622" t="s">
        <v>28</v>
      </c>
      <c r="L622">
        <v>4.8600000000000003</v>
      </c>
      <c r="M622">
        <v>4.78</v>
      </c>
      <c r="N622">
        <v>4.46</v>
      </c>
      <c r="O622" t="s">
        <v>34</v>
      </c>
      <c r="P622" t="s">
        <v>23</v>
      </c>
      <c r="Q622" t="s">
        <v>29</v>
      </c>
    </row>
    <row r="623" spans="1:17" x14ac:dyDescent="0.35">
      <c r="A623">
        <v>622</v>
      </c>
      <c r="B623" t="s">
        <v>25</v>
      </c>
      <c r="C623">
        <v>16</v>
      </c>
      <c r="D623" t="s">
        <v>37</v>
      </c>
      <c r="E623" t="s">
        <v>19</v>
      </c>
      <c r="F623">
        <v>9</v>
      </c>
      <c r="G623">
        <v>0.86</v>
      </c>
      <c r="H623" t="s">
        <v>20</v>
      </c>
      <c r="I623">
        <v>28565</v>
      </c>
      <c r="J623" t="s">
        <v>21</v>
      </c>
      <c r="K623" t="s">
        <v>28</v>
      </c>
      <c r="L623">
        <v>3.21</v>
      </c>
      <c r="M623">
        <v>4.67</v>
      </c>
      <c r="N623">
        <v>3.73</v>
      </c>
      <c r="O623" t="s">
        <v>34</v>
      </c>
      <c r="P623" t="s">
        <v>23</v>
      </c>
      <c r="Q623" t="s">
        <v>24</v>
      </c>
    </row>
    <row r="624" spans="1:17" x14ac:dyDescent="0.35">
      <c r="A624">
        <v>623</v>
      </c>
      <c r="B624" t="s">
        <v>17</v>
      </c>
      <c r="C624">
        <v>16</v>
      </c>
      <c r="D624" t="s">
        <v>26</v>
      </c>
      <c r="E624" t="s">
        <v>19</v>
      </c>
      <c r="F624">
        <v>28</v>
      </c>
      <c r="G624">
        <v>0.67</v>
      </c>
      <c r="H624" t="s">
        <v>31</v>
      </c>
      <c r="I624">
        <v>36025</v>
      </c>
      <c r="J624" t="s">
        <v>21</v>
      </c>
      <c r="K624" t="s">
        <v>28</v>
      </c>
      <c r="L624">
        <v>3.54</v>
      </c>
      <c r="M624">
        <v>3.66</v>
      </c>
      <c r="N624">
        <v>3.21</v>
      </c>
      <c r="O624" t="s">
        <v>36</v>
      </c>
      <c r="P624" t="s">
        <v>32</v>
      </c>
      <c r="Q624" t="s">
        <v>29</v>
      </c>
    </row>
    <row r="625" spans="1:17" x14ac:dyDescent="0.35">
      <c r="A625">
        <v>624</v>
      </c>
      <c r="B625" t="s">
        <v>25</v>
      </c>
      <c r="C625">
        <v>18</v>
      </c>
      <c r="D625" t="s">
        <v>33</v>
      </c>
      <c r="E625" t="s">
        <v>19</v>
      </c>
      <c r="F625">
        <v>5</v>
      </c>
      <c r="G625">
        <v>0.76</v>
      </c>
      <c r="H625" t="s">
        <v>40</v>
      </c>
      <c r="I625">
        <v>37832</v>
      </c>
      <c r="J625" t="s">
        <v>21</v>
      </c>
      <c r="K625" t="s">
        <v>28</v>
      </c>
      <c r="L625">
        <v>4.04</v>
      </c>
      <c r="M625">
        <v>3.66</v>
      </c>
      <c r="N625">
        <v>4.38</v>
      </c>
      <c r="O625" t="s">
        <v>34</v>
      </c>
      <c r="P625" t="s">
        <v>23</v>
      </c>
      <c r="Q625" t="s">
        <v>24</v>
      </c>
    </row>
    <row r="626" spans="1:17" x14ac:dyDescent="0.35">
      <c r="A626">
        <v>625</v>
      </c>
      <c r="B626" t="s">
        <v>17</v>
      </c>
      <c r="C626">
        <v>16</v>
      </c>
      <c r="D626" t="s">
        <v>26</v>
      </c>
      <c r="E626" t="s">
        <v>19</v>
      </c>
      <c r="F626">
        <v>5</v>
      </c>
      <c r="G626">
        <v>0.68</v>
      </c>
      <c r="H626" t="s">
        <v>27</v>
      </c>
      <c r="I626">
        <v>54116</v>
      </c>
      <c r="J626" t="s">
        <v>28</v>
      </c>
      <c r="K626" t="s">
        <v>21</v>
      </c>
      <c r="L626">
        <v>4.13</v>
      </c>
      <c r="M626">
        <v>3.65</v>
      </c>
      <c r="N626">
        <v>4.96</v>
      </c>
      <c r="O626" t="s">
        <v>22</v>
      </c>
      <c r="P626" t="s">
        <v>23</v>
      </c>
      <c r="Q626" t="s">
        <v>24</v>
      </c>
    </row>
    <row r="627" spans="1:17" x14ac:dyDescent="0.35">
      <c r="A627">
        <v>626</v>
      </c>
      <c r="B627" t="s">
        <v>25</v>
      </c>
      <c r="C627">
        <v>17</v>
      </c>
      <c r="D627" t="s">
        <v>30</v>
      </c>
      <c r="E627" t="s">
        <v>19</v>
      </c>
      <c r="F627">
        <v>19</v>
      </c>
      <c r="G627">
        <v>0.65</v>
      </c>
      <c r="H627" t="s">
        <v>27</v>
      </c>
      <c r="I627">
        <v>19782</v>
      </c>
      <c r="J627" t="s">
        <v>28</v>
      </c>
      <c r="K627" t="s">
        <v>28</v>
      </c>
      <c r="L627">
        <v>3.03</v>
      </c>
      <c r="M627">
        <v>3.52</v>
      </c>
      <c r="N627">
        <v>4.45</v>
      </c>
      <c r="O627" t="s">
        <v>34</v>
      </c>
      <c r="P627" t="s">
        <v>32</v>
      </c>
      <c r="Q627" t="s">
        <v>24</v>
      </c>
    </row>
    <row r="628" spans="1:17" x14ac:dyDescent="0.35">
      <c r="A628">
        <v>627</v>
      </c>
      <c r="B628" t="s">
        <v>17</v>
      </c>
      <c r="C628">
        <v>15</v>
      </c>
      <c r="D628" t="s">
        <v>42</v>
      </c>
      <c r="E628" t="s">
        <v>19</v>
      </c>
      <c r="F628">
        <v>24</v>
      </c>
      <c r="G628">
        <v>0.84</v>
      </c>
      <c r="H628" t="s">
        <v>20</v>
      </c>
      <c r="I628">
        <v>48650</v>
      </c>
      <c r="J628" t="s">
        <v>28</v>
      </c>
      <c r="K628" t="s">
        <v>28</v>
      </c>
      <c r="L628">
        <v>4.5599999999999996</v>
      </c>
      <c r="M628">
        <v>4.32</v>
      </c>
      <c r="N628">
        <v>4.8600000000000003</v>
      </c>
      <c r="O628" t="s">
        <v>22</v>
      </c>
      <c r="P628" t="s">
        <v>32</v>
      </c>
      <c r="Q628" t="s">
        <v>24</v>
      </c>
    </row>
    <row r="629" spans="1:17" x14ac:dyDescent="0.35">
      <c r="A629">
        <v>628</v>
      </c>
      <c r="B629" t="s">
        <v>25</v>
      </c>
      <c r="C629">
        <v>15</v>
      </c>
      <c r="D629" t="s">
        <v>30</v>
      </c>
      <c r="E629" t="s">
        <v>35</v>
      </c>
      <c r="F629">
        <v>23</v>
      </c>
      <c r="G629">
        <v>0.98</v>
      </c>
      <c r="H629" t="s">
        <v>27</v>
      </c>
      <c r="I629">
        <v>32366</v>
      </c>
      <c r="J629" t="s">
        <v>28</v>
      </c>
      <c r="K629" t="s">
        <v>21</v>
      </c>
      <c r="L629">
        <v>3.72</v>
      </c>
      <c r="M629">
        <v>4.96</v>
      </c>
      <c r="N629">
        <v>4.6100000000000003</v>
      </c>
      <c r="O629" t="s">
        <v>22</v>
      </c>
      <c r="P629" t="s">
        <v>32</v>
      </c>
      <c r="Q629" t="s">
        <v>24</v>
      </c>
    </row>
    <row r="630" spans="1:17" x14ac:dyDescent="0.35">
      <c r="A630">
        <v>629</v>
      </c>
      <c r="B630" t="s">
        <v>17</v>
      </c>
      <c r="C630">
        <v>17</v>
      </c>
      <c r="D630" t="s">
        <v>42</v>
      </c>
      <c r="E630" t="s">
        <v>19</v>
      </c>
      <c r="F630">
        <v>14</v>
      </c>
      <c r="G630">
        <v>0.87</v>
      </c>
      <c r="H630" t="s">
        <v>40</v>
      </c>
      <c r="I630">
        <v>38557</v>
      </c>
      <c r="J630" t="s">
        <v>28</v>
      </c>
      <c r="K630" t="s">
        <v>28</v>
      </c>
      <c r="L630">
        <v>3.81</v>
      </c>
      <c r="M630">
        <v>4.16</v>
      </c>
      <c r="N630">
        <v>3.33</v>
      </c>
      <c r="O630" t="s">
        <v>36</v>
      </c>
      <c r="P630" t="s">
        <v>23</v>
      </c>
      <c r="Q630" t="s">
        <v>29</v>
      </c>
    </row>
    <row r="631" spans="1:17" x14ac:dyDescent="0.35">
      <c r="A631">
        <v>630</v>
      </c>
      <c r="B631" t="s">
        <v>17</v>
      </c>
      <c r="C631">
        <v>16</v>
      </c>
      <c r="D631" t="s">
        <v>18</v>
      </c>
      <c r="E631" t="s">
        <v>19</v>
      </c>
      <c r="F631">
        <v>22</v>
      </c>
      <c r="G631">
        <v>0.92</v>
      </c>
      <c r="H631" t="s">
        <v>27</v>
      </c>
      <c r="I631">
        <v>15798</v>
      </c>
      <c r="J631" t="s">
        <v>21</v>
      </c>
      <c r="K631" t="s">
        <v>28</v>
      </c>
      <c r="L631">
        <v>4.62</v>
      </c>
      <c r="M631">
        <v>4.3099999999999996</v>
      </c>
      <c r="N631">
        <v>3.5</v>
      </c>
      <c r="O631" t="s">
        <v>34</v>
      </c>
      <c r="P631" t="s">
        <v>32</v>
      </c>
      <c r="Q631" t="s">
        <v>29</v>
      </c>
    </row>
    <row r="632" spans="1:17" x14ac:dyDescent="0.35">
      <c r="A632">
        <v>631</v>
      </c>
      <c r="B632" t="s">
        <v>17</v>
      </c>
      <c r="C632">
        <v>17</v>
      </c>
      <c r="D632" t="s">
        <v>37</v>
      </c>
      <c r="E632" t="s">
        <v>19</v>
      </c>
      <c r="F632">
        <v>7</v>
      </c>
      <c r="G632">
        <v>0.96</v>
      </c>
      <c r="H632" t="s">
        <v>40</v>
      </c>
      <c r="I632">
        <v>19627</v>
      </c>
      <c r="J632" t="s">
        <v>21</v>
      </c>
      <c r="K632" t="s">
        <v>28</v>
      </c>
      <c r="L632">
        <v>3.76</v>
      </c>
      <c r="M632">
        <v>4.95</v>
      </c>
      <c r="N632">
        <v>3.68</v>
      </c>
      <c r="O632" t="s">
        <v>34</v>
      </c>
      <c r="P632" t="s">
        <v>23</v>
      </c>
      <c r="Q632" t="s">
        <v>29</v>
      </c>
    </row>
    <row r="633" spans="1:17" x14ac:dyDescent="0.35">
      <c r="A633">
        <v>632</v>
      </c>
      <c r="B633" t="s">
        <v>25</v>
      </c>
      <c r="C633">
        <v>17</v>
      </c>
      <c r="D633" t="s">
        <v>18</v>
      </c>
      <c r="E633" t="s">
        <v>35</v>
      </c>
      <c r="F633">
        <v>15</v>
      </c>
      <c r="G633">
        <v>0.68</v>
      </c>
      <c r="H633" t="s">
        <v>27</v>
      </c>
      <c r="I633">
        <v>51183</v>
      </c>
      <c r="J633" t="s">
        <v>21</v>
      </c>
      <c r="K633" t="s">
        <v>21</v>
      </c>
      <c r="L633">
        <v>3.09</v>
      </c>
      <c r="M633">
        <v>3.88</v>
      </c>
      <c r="N633">
        <v>3.34</v>
      </c>
      <c r="O633" t="s">
        <v>36</v>
      </c>
      <c r="P633" t="s">
        <v>32</v>
      </c>
      <c r="Q633" t="s">
        <v>24</v>
      </c>
    </row>
    <row r="634" spans="1:17" x14ac:dyDescent="0.35">
      <c r="A634">
        <v>633</v>
      </c>
      <c r="B634" t="s">
        <v>17</v>
      </c>
      <c r="C634">
        <v>18</v>
      </c>
      <c r="D634" t="s">
        <v>41</v>
      </c>
      <c r="E634" t="s">
        <v>35</v>
      </c>
      <c r="F634">
        <v>19</v>
      </c>
      <c r="G634">
        <v>0.77</v>
      </c>
      <c r="H634" t="s">
        <v>31</v>
      </c>
      <c r="I634">
        <v>22466</v>
      </c>
      <c r="J634" t="s">
        <v>28</v>
      </c>
      <c r="K634" t="s">
        <v>28</v>
      </c>
      <c r="L634">
        <v>3.35</v>
      </c>
      <c r="M634">
        <v>4.79</v>
      </c>
      <c r="N634">
        <v>4.16</v>
      </c>
      <c r="O634" t="s">
        <v>34</v>
      </c>
      <c r="P634" t="s">
        <v>32</v>
      </c>
      <c r="Q634" t="s">
        <v>24</v>
      </c>
    </row>
    <row r="635" spans="1:17" x14ac:dyDescent="0.35">
      <c r="A635">
        <v>634</v>
      </c>
      <c r="B635" t="s">
        <v>17</v>
      </c>
      <c r="C635">
        <v>17</v>
      </c>
      <c r="D635" t="s">
        <v>26</v>
      </c>
      <c r="E635" t="s">
        <v>19</v>
      </c>
      <c r="F635">
        <v>15</v>
      </c>
      <c r="G635">
        <v>0.8</v>
      </c>
      <c r="H635" t="s">
        <v>20</v>
      </c>
      <c r="I635">
        <v>52614</v>
      </c>
      <c r="J635" t="s">
        <v>21</v>
      </c>
      <c r="K635" t="s">
        <v>28</v>
      </c>
      <c r="L635">
        <v>4.91</v>
      </c>
      <c r="M635">
        <v>4.32</v>
      </c>
      <c r="N635">
        <v>4.95</v>
      </c>
      <c r="O635" t="s">
        <v>22</v>
      </c>
      <c r="P635" t="s">
        <v>32</v>
      </c>
      <c r="Q635" t="s">
        <v>24</v>
      </c>
    </row>
    <row r="636" spans="1:17" x14ac:dyDescent="0.35">
      <c r="A636">
        <v>635</v>
      </c>
      <c r="B636" t="s">
        <v>25</v>
      </c>
      <c r="C636">
        <v>15</v>
      </c>
      <c r="D636" t="s">
        <v>42</v>
      </c>
      <c r="E636" t="s">
        <v>19</v>
      </c>
      <c r="F636">
        <v>21</v>
      </c>
      <c r="G636">
        <v>0.61</v>
      </c>
      <c r="H636" t="s">
        <v>20</v>
      </c>
      <c r="I636">
        <v>22720</v>
      </c>
      <c r="J636" t="s">
        <v>21</v>
      </c>
      <c r="K636" t="s">
        <v>21</v>
      </c>
      <c r="L636">
        <v>3.14</v>
      </c>
      <c r="M636">
        <v>4.3499999999999996</v>
      </c>
      <c r="N636">
        <v>4.5199999999999996</v>
      </c>
      <c r="O636" t="s">
        <v>22</v>
      </c>
      <c r="P636" t="s">
        <v>32</v>
      </c>
      <c r="Q636" t="s">
        <v>24</v>
      </c>
    </row>
    <row r="637" spans="1:17" x14ac:dyDescent="0.35">
      <c r="A637">
        <v>636</v>
      </c>
      <c r="B637" t="s">
        <v>25</v>
      </c>
      <c r="C637">
        <v>17</v>
      </c>
      <c r="D637" t="s">
        <v>30</v>
      </c>
      <c r="E637" t="s">
        <v>19</v>
      </c>
      <c r="F637">
        <v>21</v>
      </c>
      <c r="G637">
        <v>0.97</v>
      </c>
      <c r="H637" t="s">
        <v>31</v>
      </c>
      <c r="I637">
        <v>51913</v>
      </c>
      <c r="J637" t="s">
        <v>28</v>
      </c>
      <c r="K637" t="s">
        <v>21</v>
      </c>
      <c r="L637">
        <v>3.71</v>
      </c>
      <c r="M637">
        <v>4.01</v>
      </c>
      <c r="N637">
        <v>3.85</v>
      </c>
      <c r="O637" t="s">
        <v>34</v>
      </c>
      <c r="P637" t="s">
        <v>32</v>
      </c>
      <c r="Q637" t="s">
        <v>24</v>
      </c>
    </row>
    <row r="638" spans="1:17" x14ac:dyDescent="0.35">
      <c r="A638">
        <v>637</v>
      </c>
      <c r="B638" t="s">
        <v>17</v>
      </c>
      <c r="C638">
        <v>15</v>
      </c>
      <c r="D638" t="s">
        <v>37</v>
      </c>
      <c r="E638" t="s">
        <v>35</v>
      </c>
      <c r="F638">
        <v>10</v>
      </c>
      <c r="G638">
        <v>0.99</v>
      </c>
      <c r="H638" t="s">
        <v>31</v>
      </c>
      <c r="I638">
        <v>47292</v>
      </c>
      <c r="J638" t="s">
        <v>28</v>
      </c>
      <c r="K638" t="s">
        <v>28</v>
      </c>
      <c r="L638">
        <v>4.01</v>
      </c>
      <c r="M638">
        <v>4.34</v>
      </c>
      <c r="N638">
        <v>3.01</v>
      </c>
      <c r="O638" t="s">
        <v>36</v>
      </c>
      <c r="P638" t="s">
        <v>23</v>
      </c>
      <c r="Q638" t="s">
        <v>29</v>
      </c>
    </row>
    <row r="639" spans="1:17" x14ac:dyDescent="0.35">
      <c r="A639">
        <v>638</v>
      </c>
      <c r="B639" t="s">
        <v>17</v>
      </c>
      <c r="C639">
        <v>15</v>
      </c>
      <c r="D639" t="s">
        <v>42</v>
      </c>
      <c r="E639" t="s">
        <v>35</v>
      </c>
      <c r="F639">
        <v>9</v>
      </c>
      <c r="G639">
        <v>0.95</v>
      </c>
      <c r="H639" t="s">
        <v>20</v>
      </c>
      <c r="I639">
        <v>16559</v>
      </c>
      <c r="J639" t="s">
        <v>21</v>
      </c>
      <c r="K639" t="s">
        <v>28</v>
      </c>
      <c r="L639">
        <v>3.99</v>
      </c>
      <c r="M639">
        <v>3.61</v>
      </c>
      <c r="N639">
        <v>3.63</v>
      </c>
      <c r="O639" t="s">
        <v>34</v>
      </c>
      <c r="P639" t="s">
        <v>23</v>
      </c>
      <c r="Q639" t="s">
        <v>29</v>
      </c>
    </row>
    <row r="640" spans="1:17" x14ac:dyDescent="0.35">
      <c r="A640">
        <v>639</v>
      </c>
      <c r="B640" t="s">
        <v>25</v>
      </c>
      <c r="C640">
        <v>15</v>
      </c>
      <c r="D640" t="s">
        <v>30</v>
      </c>
      <c r="E640" t="s">
        <v>19</v>
      </c>
      <c r="F640">
        <v>12</v>
      </c>
      <c r="G640">
        <v>0.96</v>
      </c>
      <c r="H640" t="s">
        <v>31</v>
      </c>
      <c r="I640">
        <v>50388</v>
      </c>
      <c r="J640" t="s">
        <v>21</v>
      </c>
      <c r="K640" t="s">
        <v>21</v>
      </c>
      <c r="L640">
        <v>3.01</v>
      </c>
      <c r="M640">
        <v>4.6500000000000004</v>
      </c>
      <c r="N640">
        <v>4.05</v>
      </c>
      <c r="O640" t="s">
        <v>34</v>
      </c>
      <c r="P640" t="s">
        <v>23</v>
      </c>
      <c r="Q640" t="s">
        <v>24</v>
      </c>
    </row>
    <row r="641" spans="1:17" x14ac:dyDescent="0.35">
      <c r="A641">
        <v>640</v>
      </c>
      <c r="B641" t="s">
        <v>25</v>
      </c>
      <c r="C641">
        <v>16</v>
      </c>
      <c r="D641" t="s">
        <v>26</v>
      </c>
      <c r="E641" t="s">
        <v>35</v>
      </c>
      <c r="F641">
        <v>6</v>
      </c>
      <c r="G641">
        <v>0.74</v>
      </c>
      <c r="H641" t="s">
        <v>40</v>
      </c>
      <c r="I641">
        <v>29158</v>
      </c>
      <c r="J641" t="s">
        <v>28</v>
      </c>
      <c r="K641" t="s">
        <v>28</v>
      </c>
      <c r="L641">
        <v>4</v>
      </c>
      <c r="M641">
        <v>3.93</v>
      </c>
      <c r="N641">
        <v>3.65</v>
      </c>
      <c r="O641" t="s">
        <v>34</v>
      </c>
      <c r="P641" t="s">
        <v>23</v>
      </c>
      <c r="Q641" t="s">
        <v>29</v>
      </c>
    </row>
    <row r="642" spans="1:17" x14ac:dyDescent="0.35">
      <c r="A642">
        <v>641</v>
      </c>
      <c r="B642" t="s">
        <v>25</v>
      </c>
      <c r="C642">
        <v>18</v>
      </c>
      <c r="D642" t="s">
        <v>18</v>
      </c>
      <c r="E642" t="s">
        <v>19</v>
      </c>
      <c r="F642">
        <v>20</v>
      </c>
      <c r="G642">
        <v>0.87</v>
      </c>
      <c r="H642" t="s">
        <v>27</v>
      </c>
      <c r="I642">
        <v>40916</v>
      </c>
      <c r="J642" t="s">
        <v>28</v>
      </c>
      <c r="K642" t="s">
        <v>21</v>
      </c>
      <c r="L642">
        <v>3.77</v>
      </c>
      <c r="M642">
        <v>4.83</v>
      </c>
      <c r="N642">
        <v>3.22</v>
      </c>
      <c r="O642" t="s">
        <v>36</v>
      </c>
      <c r="P642" t="s">
        <v>32</v>
      </c>
      <c r="Q642" t="s">
        <v>29</v>
      </c>
    </row>
    <row r="643" spans="1:17" x14ac:dyDescent="0.35">
      <c r="A643">
        <v>642</v>
      </c>
      <c r="B643" t="s">
        <v>25</v>
      </c>
      <c r="C643">
        <v>15</v>
      </c>
      <c r="D643" t="s">
        <v>26</v>
      </c>
      <c r="E643" t="s">
        <v>35</v>
      </c>
      <c r="F643">
        <v>24</v>
      </c>
      <c r="G643">
        <v>0.77</v>
      </c>
      <c r="H643" t="s">
        <v>20</v>
      </c>
      <c r="I643">
        <v>32057</v>
      </c>
      <c r="J643" t="s">
        <v>28</v>
      </c>
      <c r="K643" t="s">
        <v>28</v>
      </c>
      <c r="L643">
        <v>4.9400000000000004</v>
      </c>
      <c r="M643">
        <v>4.05</v>
      </c>
      <c r="N643">
        <v>3.89</v>
      </c>
      <c r="O643" t="s">
        <v>34</v>
      </c>
      <c r="P643" t="s">
        <v>32</v>
      </c>
      <c r="Q643" t="s">
        <v>29</v>
      </c>
    </row>
    <row r="644" spans="1:17" x14ac:dyDescent="0.35">
      <c r="A644">
        <v>643</v>
      </c>
      <c r="B644" t="s">
        <v>25</v>
      </c>
      <c r="C644">
        <v>15</v>
      </c>
      <c r="D644" t="s">
        <v>39</v>
      </c>
      <c r="E644" t="s">
        <v>35</v>
      </c>
      <c r="F644">
        <v>28</v>
      </c>
      <c r="G644">
        <v>0.93</v>
      </c>
      <c r="H644" t="s">
        <v>31</v>
      </c>
      <c r="I644">
        <v>45892</v>
      </c>
      <c r="J644" t="s">
        <v>28</v>
      </c>
      <c r="K644" t="s">
        <v>21</v>
      </c>
      <c r="L644">
        <v>3.32</v>
      </c>
      <c r="M644">
        <v>3.71</v>
      </c>
      <c r="N644">
        <v>3.51</v>
      </c>
      <c r="O644" t="s">
        <v>34</v>
      </c>
      <c r="P644" t="s">
        <v>32</v>
      </c>
      <c r="Q644" t="s">
        <v>24</v>
      </c>
    </row>
    <row r="645" spans="1:17" x14ac:dyDescent="0.35">
      <c r="A645">
        <v>644</v>
      </c>
      <c r="B645" t="s">
        <v>17</v>
      </c>
      <c r="C645">
        <v>16</v>
      </c>
      <c r="D645" t="s">
        <v>41</v>
      </c>
      <c r="E645" t="s">
        <v>19</v>
      </c>
      <c r="F645">
        <v>16</v>
      </c>
      <c r="G645">
        <v>0.81</v>
      </c>
      <c r="H645" t="s">
        <v>40</v>
      </c>
      <c r="I645">
        <v>51439</v>
      </c>
      <c r="J645" t="s">
        <v>21</v>
      </c>
      <c r="K645" t="s">
        <v>28</v>
      </c>
      <c r="L645">
        <v>3.71</v>
      </c>
      <c r="M645">
        <v>4.54</v>
      </c>
      <c r="N645">
        <v>4.82</v>
      </c>
      <c r="O645" t="s">
        <v>22</v>
      </c>
      <c r="P645" t="s">
        <v>32</v>
      </c>
      <c r="Q645" t="s">
        <v>24</v>
      </c>
    </row>
    <row r="646" spans="1:17" x14ac:dyDescent="0.35">
      <c r="A646">
        <v>645</v>
      </c>
      <c r="B646" t="s">
        <v>25</v>
      </c>
      <c r="C646">
        <v>15</v>
      </c>
      <c r="D646" t="s">
        <v>39</v>
      </c>
      <c r="E646" t="s">
        <v>19</v>
      </c>
      <c r="F646">
        <v>10</v>
      </c>
      <c r="G646">
        <v>0.7</v>
      </c>
      <c r="H646" t="s">
        <v>20</v>
      </c>
      <c r="I646">
        <v>21706</v>
      </c>
      <c r="J646" t="s">
        <v>21</v>
      </c>
      <c r="K646" t="s">
        <v>21</v>
      </c>
      <c r="L646">
        <v>3.84</v>
      </c>
      <c r="M646">
        <v>3.75</v>
      </c>
      <c r="N646">
        <v>3.2</v>
      </c>
      <c r="O646" t="s">
        <v>36</v>
      </c>
      <c r="P646" t="s">
        <v>23</v>
      </c>
      <c r="Q646" t="s">
        <v>29</v>
      </c>
    </row>
    <row r="647" spans="1:17" x14ac:dyDescent="0.35">
      <c r="A647">
        <v>646</v>
      </c>
      <c r="B647" t="s">
        <v>17</v>
      </c>
      <c r="C647">
        <v>17</v>
      </c>
      <c r="D647" t="s">
        <v>37</v>
      </c>
      <c r="E647" t="s">
        <v>19</v>
      </c>
      <c r="F647">
        <v>5</v>
      </c>
      <c r="G647">
        <v>0.72</v>
      </c>
      <c r="H647" t="s">
        <v>31</v>
      </c>
      <c r="I647">
        <v>22070</v>
      </c>
      <c r="J647" t="s">
        <v>28</v>
      </c>
      <c r="K647" t="s">
        <v>21</v>
      </c>
      <c r="L647">
        <v>3.78</v>
      </c>
      <c r="M647">
        <v>4.63</v>
      </c>
      <c r="N647">
        <v>3.1</v>
      </c>
      <c r="O647" t="s">
        <v>36</v>
      </c>
      <c r="P647" t="s">
        <v>23</v>
      </c>
      <c r="Q647" t="s">
        <v>29</v>
      </c>
    </row>
    <row r="648" spans="1:17" x14ac:dyDescent="0.35">
      <c r="A648">
        <v>647</v>
      </c>
      <c r="B648" t="s">
        <v>17</v>
      </c>
      <c r="C648">
        <v>17</v>
      </c>
      <c r="D648" t="s">
        <v>42</v>
      </c>
      <c r="E648" t="s">
        <v>19</v>
      </c>
      <c r="F648">
        <v>8</v>
      </c>
      <c r="G648">
        <v>0.63</v>
      </c>
      <c r="H648" t="s">
        <v>20</v>
      </c>
      <c r="I648">
        <v>50902</v>
      </c>
      <c r="J648" t="s">
        <v>21</v>
      </c>
      <c r="K648" t="s">
        <v>21</v>
      </c>
      <c r="L648">
        <v>4.33</v>
      </c>
      <c r="M648">
        <v>4.95</v>
      </c>
      <c r="N648">
        <v>3.01</v>
      </c>
      <c r="O648" t="s">
        <v>36</v>
      </c>
      <c r="P648" t="s">
        <v>23</v>
      </c>
      <c r="Q648" t="s">
        <v>29</v>
      </c>
    </row>
    <row r="649" spans="1:17" x14ac:dyDescent="0.35">
      <c r="A649">
        <v>648</v>
      </c>
      <c r="B649" t="s">
        <v>17</v>
      </c>
      <c r="C649">
        <v>18</v>
      </c>
      <c r="D649" t="s">
        <v>37</v>
      </c>
      <c r="E649" t="s">
        <v>35</v>
      </c>
      <c r="F649">
        <v>21</v>
      </c>
      <c r="G649">
        <v>0.81</v>
      </c>
      <c r="H649" t="s">
        <v>31</v>
      </c>
      <c r="I649">
        <v>10924</v>
      </c>
      <c r="J649" t="s">
        <v>21</v>
      </c>
      <c r="K649" t="s">
        <v>21</v>
      </c>
      <c r="L649">
        <v>3.43</v>
      </c>
      <c r="M649">
        <v>4.67</v>
      </c>
      <c r="N649">
        <v>3.66</v>
      </c>
      <c r="O649" t="s">
        <v>34</v>
      </c>
      <c r="P649" t="s">
        <v>32</v>
      </c>
      <c r="Q649" t="s">
        <v>24</v>
      </c>
    </row>
    <row r="650" spans="1:17" x14ac:dyDescent="0.35">
      <c r="A650">
        <v>649</v>
      </c>
      <c r="B650" t="s">
        <v>25</v>
      </c>
      <c r="C650">
        <v>15</v>
      </c>
      <c r="D650" t="s">
        <v>18</v>
      </c>
      <c r="E650" t="s">
        <v>35</v>
      </c>
      <c r="F650">
        <v>17</v>
      </c>
      <c r="G650">
        <v>0.66</v>
      </c>
      <c r="H650" t="s">
        <v>20</v>
      </c>
      <c r="I650">
        <v>36478</v>
      </c>
      <c r="J650" t="s">
        <v>28</v>
      </c>
      <c r="K650" t="s">
        <v>21</v>
      </c>
      <c r="L650">
        <v>3.44</v>
      </c>
      <c r="M650">
        <v>3.53</v>
      </c>
      <c r="N650">
        <v>4.32</v>
      </c>
      <c r="O650" t="s">
        <v>34</v>
      </c>
      <c r="P650" t="s">
        <v>32</v>
      </c>
      <c r="Q650" t="s">
        <v>24</v>
      </c>
    </row>
    <row r="651" spans="1:17" x14ac:dyDescent="0.35">
      <c r="A651">
        <v>650</v>
      </c>
      <c r="B651" t="s">
        <v>17</v>
      </c>
      <c r="C651">
        <v>16</v>
      </c>
      <c r="D651" t="s">
        <v>30</v>
      </c>
      <c r="E651" t="s">
        <v>35</v>
      </c>
      <c r="F651">
        <v>22</v>
      </c>
      <c r="G651">
        <v>0.83</v>
      </c>
      <c r="H651" t="s">
        <v>40</v>
      </c>
      <c r="I651">
        <v>15506</v>
      </c>
      <c r="J651" t="s">
        <v>21</v>
      </c>
      <c r="K651" t="s">
        <v>28</v>
      </c>
      <c r="L651">
        <v>4.46</v>
      </c>
      <c r="M651">
        <v>4.4000000000000004</v>
      </c>
      <c r="N651">
        <v>4.46</v>
      </c>
      <c r="O651" t="s">
        <v>34</v>
      </c>
      <c r="P651" t="s">
        <v>32</v>
      </c>
      <c r="Q651" t="s">
        <v>38</v>
      </c>
    </row>
    <row r="652" spans="1:17" x14ac:dyDescent="0.35">
      <c r="A652">
        <v>651</v>
      </c>
      <c r="B652" t="s">
        <v>17</v>
      </c>
      <c r="C652">
        <v>17</v>
      </c>
      <c r="D652" t="s">
        <v>26</v>
      </c>
      <c r="E652" t="s">
        <v>19</v>
      </c>
      <c r="F652">
        <v>9</v>
      </c>
      <c r="G652">
        <v>0.63</v>
      </c>
      <c r="H652" t="s">
        <v>40</v>
      </c>
      <c r="I652">
        <v>56418</v>
      </c>
      <c r="J652" t="s">
        <v>21</v>
      </c>
      <c r="K652" t="s">
        <v>28</v>
      </c>
      <c r="L652">
        <v>4</v>
      </c>
      <c r="M652">
        <v>4.54</v>
      </c>
      <c r="N652">
        <v>3.91</v>
      </c>
      <c r="O652" t="s">
        <v>34</v>
      </c>
      <c r="P652" t="s">
        <v>23</v>
      </c>
      <c r="Q652" t="s">
        <v>29</v>
      </c>
    </row>
    <row r="653" spans="1:17" x14ac:dyDescent="0.35">
      <c r="A653">
        <v>652</v>
      </c>
      <c r="B653" t="s">
        <v>25</v>
      </c>
      <c r="C653">
        <v>16</v>
      </c>
      <c r="D653" t="s">
        <v>39</v>
      </c>
      <c r="E653" t="s">
        <v>35</v>
      </c>
      <c r="F653">
        <v>28</v>
      </c>
      <c r="G653">
        <v>0.87</v>
      </c>
      <c r="H653" t="s">
        <v>27</v>
      </c>
      <c r="I653">
        <v>45163</v>
      </c>
      <c r="J653" t="s">
        <v>21</v>
      </c>
      <c r="K653" t="s">
        <v>21</v>
      </c>
      <c r="L653">
        <v>3.83</v>
      </c>
      <c r="M653">
        <v>4.74</v>
      </c>
      <c r="N653">
        <v>4.37</v>
      </c>
      <c r="O653" t="s">
        <v>34</v>
      </c>
      <c r="P653" t="s">
        <v>32</v>
      </c>
      <c r="Q653" t="s">
        <v>24</v>
      </c>
    </row>
    <row r="654" spans="1:17" x14ac:dyDescent="0.35">
      <c r="A654">
        <v>653</v>
      </c>
      <c r="B654" t="s">
        <v>17</v>
      </c>
      <c r="C654">
        <v>16</v>
      </c>
      <c r="D654" t="s">
        <v>33</v>
      </c>
      <c r="E654" t="s">
        <v>19</v>
      </c>
      <c r="F654">
        <v>28</v>
      </c>
      <c r="G654">
        <v>0.74</v>
      </c>
      <c r="H654" t="s">
        <v>20</v>
      </c>
      <c r="I654">
        <v>34604</v>
      </c>
      <c r="J654" t="s">
        <v>28</v>
      </c>
      <c r="K654" t="s">
        <v>28</v>
      </c>
      <c r="L654">
        <v>3.34</v>
      </c>
      <c r="M654">
        <v>3.58</v>
      </c>
      <c r="N654">
        <v>3.72</v>
      </c>
      <c r="O654" t="s">
        <v>34</v>
      </c>
      <c r="P654" t="s">
        <v>32</v>
      </c>
      <c r="Q654" t="s">
        <v>24</v>
      </c>
    </row>
    <row r="655" spans="1:17" x14ac:dyDescent="0.35">
      <c r="A655">
        <v>654</v>
      </c>
      <c r="B655" t="s">
        <v>17</v>
      </c>
      <c r="C655">
        <v>17</v>
      </c>
      <c r="D655" t="s">
        <v>39</v>
      </c>
      <c r="E655" t="s">
        <v>35</v>
      </c>
      <c r="F655">
        <v>7</v>
      </c>
      <c r="G655">
        <v>0.6</v>
      </c>
      <c r="H655" t="s">
        <v>27</v>
      </c>
      <c r="I655">
        <v>25310</v>
      </c>
      <c r="J655" t="s">
        <v>28</v>
      </c>
      <c r="K655" t="s">
        <v>28</v>
      </c>
      <c r="L655">
        <v>3.38</v>
      </c>
      <c r="M655">
        <v>4.22</v>
      </c>
      <c r="N655">
        <v>4.34</v>
      </c>
      <c r="O655" t="s">
        <v>34</v>
      </c>
      <c r="P655" t="s">
        <v>23</v>
      </c>
      <c r="Q655" t="s">
        <v>24</v>
      </c>
    </row>
    <row r="656" spans="1:17" x14ac:dyDescent="0.35">
      <c r="A656">
        <v>655</v>
      </c>
      <c r="B656" t="s">
        <v>25</v>
      </c>
      <c r="C656">
        <v>16</v>
      </c>
      <c r="D656" t="s">
        <v>18</v>
      </c>
      <c r="E656" t="s">
        <v>19</v>
      </c>
      <c r="F656">
        <v>15</v>
      </c>
      <c r="G656">
        <v>0.62</v>
      </c>
      <c r="H656" t="s">
        <v>20</v>
      </c>
      <c r="I656">
        <v>18226</v>
      </c>
      <c r="J656" t="s">
        <v>21</v>
      </c>
      <c r="K656" t="s">
        <v>28</v>
      </c>
      <c r="L656">
        <v>3.02</v>
      </c>
      <c r="M656">
        <v>4.3</v>
      </c>
      <c r="N656">
        <v>3.08</v>
      </c>
      <c r="O656" t="s">
        <v>36</v>
      </c>
      <c r="P656" t="s">
        <v>32</v>
      </c>
      <c r="Q656" t="s">
        <v>24</v>
      </c>
    </row>
    <row r="657" spans="1:17" x14ac:dyDescent="0.35">
      <c r="A657">
        <v>656</v>
      </c>
      <c r="B657" t="s">
        <v>17</v>
      </c>
      <c r="C657">
        <v>17</v>
      </c>
      <c r="D657" t="s">
        <v>39</v>
      </c>
      <c r="E657" t="s">
        <v>19</v>
      </c>
      <c r="F657">
        <v>17</v>
      </c>
      <c r="G657">
        <v>0.73</v>
      </c>
      <c r="H657" t="s">
        <v>31</v>
      </c>
      <c r="I657">
        <v>21781</v>
      </c>
      <c r="J657" t="s">
        <v>28</v>
      </c>
      <c r="K657" t="s">
        <v>28</v>
      </c>
      <c r="L657">
        <v>3.18</v>
      </c>
      <c r="M657">
        <v>3.75</v>
      </c>
      <c r="N657">
        <v>3.78</v>
      </c>
      <c r="O657" t="s">
        <v>34</v>
      </c>
      <c r="P657" t="s">
        <v>32</v>
      </c>
      <c r="Q657" t="s">
        <v>24</v>
      </c>
    </row>
    <row r="658" spans="1:17" x14ac:dyDescent="0.35">
      <c r="A658">
        <v>657</v>
      </c>
      <c r="B658" t="s">
        <v>17</v>
      </c>
      <c r="C658">
        <v>16</v>
      </c>
      <c r="D658" t="s">
        <v>18</v>
      </c>
      <c r="E658" t="s">
        <v>35</v>
      </c>
      <c r="F658">
        <v>8</v>
      </c>
      <c r="G658">
        <v>0.97</v>
      </c>
      <c r="H658" t="s">
        <v>31</v>
      </c>
      <c r="I658">
        <v>15515</v>
      </c>
      <c r="J658" t="s">
        <v>28</v>
      </c>
      <c r="K658" t="s">
        <v>28</v>
      </c>
      <c r="L658">
        <v>4.1100000000000003</v>
      </c>
      <c r="M658">
        <v>3.98</v>
      </c>
      <c r="N658">
        <v>4.58</v>
      </c>
      <c r="O658" t="s">
        <v>22</v>
      </c>
      <c r="P658" t="s">
        <v>23</v>
      </c>
      <c r="Q658" t="s">
        <v>24</v>
      </c>
    </row>
    <row r="659" spans="1:17" x14ac:dyDescent="0.35">
      <c r="A659">
        <v>658</v>
      </c>
      <c r="B659" t="s">
        <v>17</v>
      </c>
      <c r="C659">
        <v>17</v>
      </c>
      <c r="D659" t="s">
        <v>33</v>
      </c>
      <c r="E659" t="s">
        <v>19</v>
      </c>
      <c r="F659">
        <v>18</v>
      </c>
      <c r="G659">
        <v>0.6</v>
      </c>
      <c r="H659" t="s">
        <v>27</v>
      </c>
      <c r="I659">
        <v>46133</v>
      </c>
      <c r="J659" t="s">
        <v>28</v>
      </c>
      <c r="K659" t="s">
        <v>28</v>
      </c>
      <c r="L659">
        <v>4.78</v>
      </c>
      <c r="M659">
        <v>4.16</v>
      </c>
      <c r="N659">
        <v>4.6100000000000003</v>
      </c>
      <c r="O659" t="s">
        <v>22</v>
      </c>
      <c r="P659" t="s">
        <v>32</v>
      </c>
      <c r="Q659" t="s">
        <v>29</v>
      </c>
    </row>
    <row r="660" spans="1:17" x14ac:dyDescent="0.35">
      <c r="A660">
        <v>659</v>
      </c>
      <c r="B660" t="s">
        <v>25</v>
      </c>
      <c r="C660">
        <v>15</v>
      </c>
      <c r="D660" t="s">
        <v>37</v>
      </c>
      <c r="E660" t="s">
        <v>19</v>
      </c>
      <c r="F660">
        <v>26</v>
      </c>
      <c r="G660">
        <v>0.97</v>
      </c>
      <c r="H660" t="s">
        <v>20</v>
      </c>
      <c r="I660">
        <v>26972</v>
      </c>
      <c r="J660" t="s">
        <v>21</v>
      </c>
      <c r="K660" t="s">
        <v>21</v>
      </c>
      <c r="L660">
        <v>3.57</v>
      </c>
      <c r="M660">
        <v>4.75</v>
      </c>
      <c r="N660">
        <v>4.43</v>
      </c>
      <c r="O660" t="s">
        <v>34</v>
      </c>
      <c r="P660" t="s">
        <v>32</v>
      </c>
      <c r="Q660" t="s">
        <v>24</v>
      </c>
    </row>
    <row r="661" spans="1:17" x14ac:dyDescent="0.35">
      <c r="A661">
        <v>660</v>
      </c>
      <c r="B661" t="s">
        <v>25</v>
      </c>
      <c r="C661">
        <v>18</v>
      </c>
      <c r="D661" t="s">
        <v>26</v>
      </c>
      <c r="E661" t="s">
        <v>35</v>
      </c>
      <c r="F661">
        <v>15</v>
      </c>
      <c r="G661">
        <v>0.97</v>
      </c>
      <c r="H661" t="s">
        <v>27</v>
      </c>
      <c r="I661">
        <v>42092</v>
      </c>
      <c r="J661" t="s">
        <v>21</v>
      </c>
      <c r="K661" t="s">
        <v>28</v>
      </c>
      <c r="L661">
        <v>3.66</v>
      </c>
      <c r="M661">
        <v>4.8899999999999997</v>
      </c>
      <c r="N661">
        <v>3.41</v>
      </c>
      <c r="O661" t="s">
        <v>36</v>
      </c>
      <c r="P661" t="s">
        <v>32</v>
      </c>
      <c r="Q661" t="s">
        <v>29</v>
      </c>
    </row>
    <row r="662" spans="1:17" x14ac:dyDescent="0.35">
      <c r="A662">
        <v>661</v>
      </c>
      <c r="B662" t="s">
        <v>25</v>
      </c>
      <c r="C662">
        <v>17</v>
      </c>
      <c r="D662" t="s">
        <v>42</v>
      </c>
      <c r="E662" t="s">
        <v>19</v>
      </c>
      <c r="F662">
        <v>14</v>
      </c>
      <c r="G662">
        <v>0.8</v>
      </c>
      <c r="H662" t="s">
        <v>40</v>
      </c>
      <c r="I662">
        <v>21410</v>
      </c>
      <c r="J662" t="s">
        <v>28</v>
      </c>
      <c r="K662" t="s">
        <v>28</v>
      </c>
      <c r="L662">
        <v>3.23</v>
      </c>
      <c r="M662">
        <v>4.4400000000000004</v>
      </c>
      <c r="N662">
        <v>3.49</v>
      </c>
      <c r="O662" t="s">
        <v>36</v>
      </c>
      <c r="P662" t="s">
        <v>23</v>
      </c>
      <c r="Q662" t="s">
        <v>24</v>
      </c>
    </row>
    <row r="663" spans="1:17" x14ac:dyDescent="0.35">
      <c r="A663">
        <v>662</v>
      </c>
      <c r="B663" t="s">
        <v>17</v>
      </c>
      <c r="C663">
        <v>17</v>
      </c>
      <c r="D663" t="s">
        <v>30</v>
      </c>
      <c r="E663" t="s">
        <v>19</v>
      </c>
      <c r="F663">
        <v>23</v>
      </c>
      <c r="G663">
        <v>0.88</v>
      </c>
      <c r="H663" t="s">
        <v>27</v>
      </c>
      <c r="I663">
        <v>29522</v>
      </c>
      <c r="J663" t="s">
        <v>21</v>
      </c>
      <c r="K663" t="s">
        <v>28</v>
      </c>
      <c r="L663">
        <v>3.78</v>
      </c>
      <c r="M663">
        <v>4.09</v>
      </c>
      <c r="N663">
        <v>4.99</v>
      </c>
      <c r="O663" t="s">
        <v>22</v>
      </c>
      <c r="P663" t="s">
        <v>32</v>
      </c>
      <c r="Q663" t="s">
        <v>24</v>
      </c>
    </row>
    <row r="664" spans="1:17" x14ac:dyDescent="0.35">
      <c r="A664">
        <v>663</v>
      </c>
      <c r="B664" t="s">
        <v>17</v>
      </c>
      <c r="C664">
        <v>18</v>
      </c>
      <c r="D664" t="s">
        <v>42</v>
      </c>
      <c r="E664" t="s">
        <v>19</v>
      </c>
      <c r="F664">
        <v>22</v>
      </c>
      <c r="G664">
        <v>0.64</v>
      </c>
      <c r="H664" t="s">
        <v>27</v>
      </c>
      <c r="I664">
        <v>19095</v>
      </c>
      <c r="J664" t="s">
        <v>21</v>
      </c>
      <c r="K664" t="s">
        <v>21</v>
      </c>
      <c r="L664">
        <v>3.07</v>
      </c>
      <c r="M664">
        <v>3.88</v>
      </c>
      <c r="N664">
        <v>3.21</v>
      </c>
      <c r="O664" t="s">
        <v>36</v>
      </c>
      <c r="P664" t="s">
        <v>32</v>
      </c>
      <c r="Q664" t="s">
        <v>24</v>
      </c>
    </row>
    <row r="665" spans="1:17" x14ac:dyDescent="0.35">
      <c r="A665">
        <v>664</v>
      </c>
      <c r="B665" t="s">
        <v>25</v>
      </c>
      <c r="C665">
        <v>17</v>
      </c>
      <c r="D665" t="s">
        <v>37</v>
      </c>
      <c r="E665" t="s">
        <v>35</v>
      </c>
      <c r="F665">
        <v>10</v>
      </c>
      <c r="G665">
        <v>0.69</v>
      </c>
      <c r="H665" t="s">
        <v>31</v>
      </c>
      <c r="I665">
        <v>33047</v>
      </c>
      <c r="J665" t="s">
        <v>21</v>
      </c>
      <c r="K665" t="s">
        <v>28</v>
      </c>
      <c r="L665">
        <v>4.84</v>
      </c>
      <c r="M665">
        <v>4.97</v>
      </c>
      <c r="N665">
        <v>3.36</v>
      </c>
      <c r="O665" t="s">
        <v>36</v>
      </c>
      <c r="P665" t="s">
        <v>23</v>
      </c>
      <c r="Q665" t="s">
        <v>29</v>
      </c>
    </row>
    <row r="666" spans="1:17" x14ac:dyDescent="0.35">
      <c r="A666">
        <v>665</v>
      </c>
      <c r="B666" t="s">
        <v>17</v>
      </c>
      <c r="C666">
        <v>17</v>
      </c>
      <c r="D666" t="s">
        <v>30</v>
      </c>
      <c r="E666" t="s">
        <v>35</v>
      </c>
      <c r="F666">
        <v>19</v>
      </c>
      <c r="G666">
        <v>0.87</v>
      </c>
      <c r="H666" t="s">
        <v>27</v>
      </c>
      <c r="I666">
        <v>30470</v>
      </c>
      <c r="J666" t="s">
        <v>21</v>
      </c>
      <c r="K666" t="s">
        <v>28</v>
      </c>
      <c r="L666">
        <v>4.3499999999999996</v>
      </c>
      <c r="M666">
        <v>4.97</v>
      </c>
      <c r="N666">
        <v>3.26</v>
      </c>
      <c r="O666" t="s">
        <v>36</v>
      </c>
      <c r="P666" t="s">
        <v>32</v>
      </c>
      <c r="Q666" t="s">
        <v>29</v>
      </c>
    </row>
    <row r="667" spans="1:17" x14ac:dyDescent="0.35">
      <c r="A667">
        <v>666</v>
      </c>
      <c r="B667" t="s">
        <v>17</v>
      </c>
      <c r="C667">
        <v>16</v>
      </c>
      <c r="D667" t="s">
        <v>39</v>
      </c>
      <c r="E667" t="s">
        <v>19</v>
      </c>
      <c r="F667">
        <v>25</v>
      </c>
      <c r="G667">
        <v>0.8</v>
      </c>
      <c r="H667" t="s">
        <v>20</v>
      </c>
      <c r="I667">
        <v>53129</v>
      </c>
      <c r="J667" t="s">
        <v>21</v>
      </c>
      <c r="K667" t="s">
        <v>28</v>
      </c>
      <c r="L667">
        <v>4.9800000000000004</v>
      </c>
      <c r="M667">
        <v>4.8899999999999997</v>
      </c>
      <c r="N667">
        <v>3.66</v>
      </c>
      <c r="O667" t="s">
        <v>34</v>
      </c>
      <c r="P667" t="s">
        <v>32</v>
      </c>
      <c r="Q667" t="s">
        <v>29</v>
      </c>
    </row>
    <row r="668" spans="1:17" x14ac:dyDescent="0.35">
      <c r="A668">
        <v>667</v>
      </c>
      <c r="B668" t="s">
        <v>25</v>
      </c>
      <c r="C668">
        <v>18</v>
      </c>
      <c r="D668" t="s">
        <v>33</v>
      </c>
      <c r="E668" t="s">
        <v>35</v>
      </c>
      <c r="F668">
        <v>14</v>
      </c>
      <c r="G668">
        <v>0.66</v>
      </c>
      <c r="H668" t="s">
        <v>31</v>
      </c>
      <c r="I668">
        <v>18531</v>
      </c>
      <c r="J668" t="s">
        <v>28</v>
      </c>
      <c r="K668" t="s">
        <v>21</v>
      </c>
      <c r="L668">
        <v>4.7699999999999996</v>
      </c>
      <c r="M668">
        <v>4.68</v>
      </c>
      <c r="N668">
        <v>3.42</v>
      </c>
      <c r="O668" t="s">
        <v>36</v>
      </c>
      <c r="P668" t="s">
        <v>23</v>
      </c>
      <c r="Q668" t="s">
        <v>29</v>
      </c>
    </row>
    <row r="669" spans="1:17" x14ac:dyDescent="0.35">
      <c r="A669">
        <v>668</v>
      </c>
      <c r="B669" t="s">
        <v>25</v>
      </c>
      <c r="C669">
        <v>15</v>
      </c>
      <c r="D669" t="s">
        <v>33</v>
      </c>
      <c r="E669" t="s">
        <v>19</v>
      </c>
      <c r="F669">
        <v>9</v>
      </c>
      <c r="G669">
        <v>0.62</v>
      </c>
      <c r="H669" t="s">
        <v>27</v>
      </c>
      <c r="I669">
        <v>47038</v>
      </c>
      <c r="J669" t="s">
        <v>21</v>
      </c>
      <c r="K669" t="s">
        <v>28</v>
      </c>
      <c r="L669">
        <v>3.95</v>
      </c>
      <c r="M669">
        <v>3.99</v>
      </c>
      <c r="N669">
        <v>4</v>
      </c>
      <c r="O669" t="s">
        <v>34</v>
      </c>
      <c r="P669" t="s">
        <v>23</v>
      </c>
      <c r="Q669" t="s">
        <v>24</v>
      </c>
    </row>
    <row r="670" spans="1:17" x14ac:dyDescent="0.35">
      <c r="A670">
        <v>669</v>
      </c>
      <c r="B670" t="s">
        <v>17</v>
      </c>
      <c r="C670">
        <v>17</v>
      </c>
      <c r="D670" t="s">
        <v>41</v>
      </c>
      <c r="E670" t="s">
        <v>19</v>
      </c>
      <c r="F670">
        <v>9</v>
      </c>
      <c r="G670">
        <v>0.79</v>
      </c>
      <c r="H670" t="s">
        <v>40</v>
      </c>
      <c r="I670">
        <v>32403</v>
      </c>
      <c r="J670" t="s">
        <v>21</v>
      </c>
      <c r="K670" t="s">
        <v>21</v>
      </c>
      <c r="L670">
        <v>4.04</v>
      </c>
      <c r="M670">
        <v>4.7300000000000004</v>
      </c>
      <c r="N670">
        <v>3.95</v>
      </c>
      <c r="O670" t="s">
        <v>34</v>
      </c>
      <c r="P670" t="s">
        <v>23</v>
      </c>
      <c r="Q670" t="s">
        <v>29</v>
      </c>
    </row>
    <row r="671" spans="1:17" x14ac:dyDescent="0.35">
      <c r="A671">
        <v>670</v>
      </c>
      <c r="B671" t="s">
        <v>17</v>
      </c>
      <c r="C671">
        <v>18</v>
      </c>
      <c r="D671" t="s">
        <v>37</v>
      </c>
      <c r="E671" t="s">
        <v>19</v>
      </c>
      <c r="F671">
        <v>14</v>
      </c>
      <c r="G671">
        <v>0.78</v>
      </c>
      <c r="H671" t="s">
        <v>27</v>
      </c>
      <c r="I671">
        <v>52674</v>
      </c>
      <c r="J671" t="s">
        <v>21</v>
      </c>
      <c r="K671" t="s">
        <v>28</v>
      </c>
      <c r="L671">
        <v>3.38</v>
      </c>
      <c r="M671">
        <v>4.1100000000000003</v>
      </c>
      <c r="N671">
        <v>4.8</v>
      </c>
      <c r="O671" t="s">
        <v>22</v>
      </c>
      <c r="P671" t="s">
        <v>23</v>
      </c>
      <c r="Q671" t="s">
        <v>24</v>
      </c>
    </row>
    <row r="672" spans="1:17" x14ac:dyDescent="0.35">
      <c r="A672">
        <v>671</v>
      </c>
      <c r="B672" t="s">
        <v>17</v>
      </c>
      <c r="C672">
        <v>16</v>
      </c>
      <c r="D672" t="s">
        <v>37</v>
      </c>
      <c r="E672" t="s">
        <v>19</v>
      </c>
      <c r="F672">
        <v>9</v>
      </c>
      <c r="G672">
        <v>0.94</v>
      </c>
      <c r="H672" t="s">
        <v>27</v>
      </c>
      <c r="I672">
        <v>39122</v>
      </c>
      <c r="J672" t="s">
        <v>28</v>
      </c>
      <c r="K672" t="s">
        <v>21</v>
      </c>
      <c r="L672">
        <v>3.92</v>
      </c>
      <c r="M672">
        <v>3.99</v>
      </c>
      <c r="N672">
        <v>3.07</v>
      </c>
      <c r="O672" t="s">
        <v>36</v>
      </c>
      <c r="P672" t="s">
        <v>23</v>
      </c>
      <c r="Q672" t="s">
        <v>29</v>
      </c>
    </row>
    <row r="673" spans="1:17" x14ac:dyDescent="0.35">
      <c r="A673">
        <v>672</v>
      </c>
      <c r="B673" t="s">
        <v>25</v>
      </c>
      <c r="C673">
        <v>15</v>
      </c>
      <c r="D673" t="s">
        <v>26</v>
      </c>
      <c r="E673" t="s">
        <v>19</v>
      </c>
      <c r="F673">
        <v>7</v>
      </c>
      <c r="G673">
        <v>0.63</v>
      </c>
      <c r="H673" t="s">
        <v>27</v>
      </c>
      <c r="I673">
        <v>26940</v>
      </c>
      <c r="J673" t="s">
        <v>28</v>
      </c>
      <c r="K673" t="s">
        <v>21</v>
      </c>
      <c r="L673">
        <v>4.8099999999999996</v>
      </c>
      <c r="M673">
        <v>4.62</v>
      </c>
      <c r="N673">
        <v>3.64</v>
      </c>
      <c r="O673" t="s">
        <v>34</v>
      </c>
      <c r="P673" t="s">
        <v>23</v>
      </c>
      <c r="Q673" t="s">
        <v>29</v>
      </c>
    </row>
    <row r="674" spans="1:17" x14ac:dyDescent="0.35">
      <c r="A674">
        <v>673</v>
      </c>
      <c r="B674" t="s">
        <v>25</v>
      </c>
      <c r="C674">
        <v>18</v>
      </c>
      <c r="D674" t="s">
        <v>42</v>
      </c>
      <c r="E674" t="s">
        <v>35</v>
      </c>
      <c r="F674">
        <v>27</v>
      </c>
      <c r="G674">
        <v>0.64</v>
      </c>
      <c r="H674" t="s">
        <v>31</v>
      </c>
      <c r="I674">
        <v>39831</v>
      </c>
      <c r="J674" t="s">
        <v>28</v>
      </c>
      <c r="K674" t="s">
        <v>21</v>
      </c>
      <c r="L674">
        <v>3.1</v>
      </c>
      <c r="M674">
        <v>3.62</v>
      </c>
      <c r="N674">
        <v>4.1900000000000004</v>
      </c>
      <c r="O674" t="s">
        <v>34</v>
      </c>
      <c r="P674" t="s">
        <v>32</v>
      </c>
      <c r="Q674" t="s">
        <v>24</v>
      </c>
    </row>
    <row r="675" spans="1:17" x14ac:dyDescent="0.35">
      <c r="A675">
        <v>674</v>
      </c>
      <c r="B675" t="s">
        <v>25</v>
      </c>
      <c r="C675">
        <v>15</v>
      </c>
      <c r="D675" t="s">
        <v>37</v>
      </c>
      <c r="E675" t="s">
        <v>19</v>
      </c>
      <c r="F675">
        <v>10</v>
      </c>
      <c r="G675">
        <v>0.6</v>
      </c>
      <c r="H675" t="s">
        <v>20</v>
      </c>
      <c r="I675">
        <v>21279</v>
      </c>
      <c r="J675" t="s">
        <v>21</v>
      </c>
      <c r="K675" t="s">
        <v>28</v>
      </c>
      <c r="L675">
        <v>4.7300000000000004</v>
      </c>
      <c r="M675">
        <v>3.57</v>
      </c>
      <c r="N675">
        <v>4.21</v>
      </c>
      <c r="O675" t="s">
        <v>34</v>
      </c>
      <c r="P675" t="s">
        <v>23</v>
      </c>
      <c r="Q675" t="s">
        <v>29</v>
      </c>
    </row>
    <row r="676" spans="1:17" x14ac:dyDescent="0.35">
      <c r="A676">
        <v>675</v>
      </c>
      <c r="B676" t="s">
        <v>25</v>
      </c>
      <c r="C676">
        <v>15</v>
      </c>
      <c r="D676" t="s">
        <v>37</v>
      </c>
      <c r="E676" t="s">
        <v>35</v>
      </c>
      <c r="F676">
        <v>8</v>
      </c>
      <c r="G676">
        <v>0.63</v>
      </c>
      <c r="H676" t="s">
        <v>40</v>
      </c>
      <c r="I676">
        <v>48220</v>
      </c>
      <c r="J676" t="s">
        <v>28</v>
      </c>
      <c r="K676" t="s">
        <v>21</v>
      </c>
      <c r="L676">
        <v>3.68</v>
      </c>
      <c r="M676">
        <v>4.17</v>
      </c>
      <c r="N676">
        <v>3.96</v>
      </c>
      <c r="O676" t="s">
        <v>34</v>
      </c>
      <c r="P676" t="s">
        <v>23</v>
      </c>
      <c r="Q676" t="s">
        <v>24</v>
      </c>
    </row>
    <row r="677" spans="1:17" x14ac:dyDescent="0.35">
      <c r="A677">
        <v>676</v>
      </c>
      <c r="B677" t="s">
        <v>17</v>
      </c>
      <c r="C677">
        <v>15</v>
      </c>
      <c r="D677" t="s">
        <v>39</v>
      </c>
      <c r="E677" t="s">
        <v>35</v>
      </c>
      <c r="F677">
        <v>22</v>
      </c>
      <c r="G677">
        <v>0.71</v>
      </c>
      <c r="H677" t="s">
        <v>27</v>
      </c>
      <c r="I677">
        <v>16477</v>
      </c>
      <c r="J677" t="s">
        <v>28</v>
      </c>
      <c r="K677" t="s">
        <v>21</v>
      </c>
      <c r="L677">
        <v>4.8</v>
      </c>
      <c r="M677">
        <v>4.17</v>
      </c>
      <c r="N677">
        <v>4.63</v>
      </c>
      <c r="O677" t="s">
        <v>22</v>
      </c>
      <c r="P677" t="s">
        <v>32</v>
      </c>
      <c r="Q677" t="s">
        <v>29</v>
      </c>
    </row>
    <row r="678" spans="1:17" x14ac:dyDescent="0.35">
      <c r="A678">
        <v>677</v>
      </c>
      <c r="B678" t="s">
        <v>25</v>
      </c>
      <c r="C678">
        <v>17</v>
      </c>
      <c r="D678" t="s">
        <v>39</v>
      </c>
      <c r="E678" t="s">
        <v>19</v>
      </c>
      <c r="F678">
        <v>13</v>
      </c>
      <c r="G678">
        <v>0.86</v>
      </c>
      <c r="H678" t="s">
        <v>20</v>
      </c>
      <c r="I678">
        <v>27400</v>
      </c>
      <c r="J678" t="s">
        <v>28</v>
      </c>
      <c r="K678" t="s">
        <v>21</v>
      </c>
      <c r="L678">
        <v>4.88</v>
      </c>
      <c r="M678">
        <v>4.84</v>
      </c>
      <c r="N678">
        <v>3.13</v>
      </c>
      <c r="O678" t="s">
        <v>36</v>
      </c>
      <c r="P678" t="s">
        <v>23</v>
      </c>
      <c r="Q678" t="s">
        <v>29</v>
      </c>
    </row>
    <row r="679" spans="1:17" x14ac:dyDescent="0.35">
      <c r="A679">
        <v>678</v>
      </c>
      <c r="B679" t="s">
        <v>25</v>
      </c>
      <c r="C679">
        <v>17</v>
      </c>
      <c r="D679" t="s">
        <v>30</v>
      </c>
      <c r="E679" t="s">
        <v>19</v>
      </c>
      <c r="F679">
        <v>21</v>
      </c>
      <c r="G679">
        <v>0.82</v>
      </c>
      <c r="H679" t="s">
        <v>20</v>
      </c>
      <c r="I679">
        <v>16470</v>
      </c>
      <c r="J679" t="s">
        <v>28</v>
      </c>
      <c r="K679" t="s">
        <v>21</v>
      </c>
      <c r="L679">
        <v>4.34</v>
      </c>
      <c r="M679">
        <v>3.69</v>
      </c>
      <c r="N679">
        <v>4.63</v>
      </c>
      <c r="O679" t="s">
        <v>22</v>
      </c>
      <c r="P679" t="s">
        <v>32</v>
      </c>
      <c r="Q679" t="s">
        <v>24</v>
      </c>
    </row>
    <row r="680" spans="1:17" x14ac:dyDescent="0.35">
      <c r="A680">
        <v>679</v>
      </c>
      <c r="B680" t="s">
        <v>25</v>
      </c>
      <c r="C680">
        <v>16</v>
      </c>
      <c r="D680" t="s">
        <v>18</v>
      </c>
      <c r="E680" t="s">
        <v>35</v>
      </c>
      <c r="F680">
        <v>17</v>
      </c>
      <c r="G680">
        <v>0.84</v>
      </c>
      <c r="H680" t="s">
        <v>31</v>
      </c>
      <c r="I680">
        <v>12062</v>
      </c>
      <c r="J680" t="s">
        <v>21</v>
      </c>
      <c r="K680" t="s">
        <v>28</v>
      </c>
      <c r="L680">
        <v>4.33</v>
      </c>
      <c r="M680">
        <v>3.68</v>
      </c>
      <c r="N680">
        <v>3.99</v>
      </c>
      <c r="O680" t="s">
        <v>34</v>
      </c>
      <c r="P680" t="s">
        <v>32</v>
      </c>
      <c r="Q680" t="s">
        <v>29</v>
      </c>
    </row>
    <row r="681" spans="1:17" x14ac:dyDescent="0.35">
      <c r="A681">
        <v>680</v>
      </c>
      <c r="B681" t="s">
        <v>25</v>
      </c>
      <c r="C681">
        <v>16</v>
      </c>
      <c r="D681" t="s">
        <v>18</v>
      </c>
      <c r="E681" t="s">
        <v>35</v>
      </c>
      <c r="F681">
        <v>19</v>
      </c>
      <c r="G681">
        <v>0.8</v>
      </c>
      <c r="H681" t="s">
        <v>40</v>
      </c>
      <c r="I681">
        <v>51798</v>
      </c>
      <c r="J681" t="s">
        <v>28</v>
      </c>
      <c r="K681" t="s">
        <v>28</v>
      </c>
      <c r="L681">
        <v>3.91</v>
      </c>
      <c r="M681">
        <v>3.72</v>
      </c>
      <c r="N681">
        <v>3.27</v>
      </c>
      <c r="O681" t="s">
        <v>36</v>
      </c>
      <c r="P681" t="s">
        <v>32</v>
      </c>
      <c r="Q681" t="s">
        <v>29</v>
      </c>
    </row>
    <row r="682" spans="1:17" x14ac:dyDescent="0.35">
      <c r="A682">
        <v>681</v>
      </c>
      <c r="B682" t="s">
        <v>25</v>
      </c>
      <c r="C682">
        <v>18</v>
      </c>
      <c r="D682" t="s">
        <v>41</v>
      </c>
      <c r="E682" t="s">
        <v>35</v>
      </c>
      <c r="F682">
        <v>24</v>
      </c>
      <c r="G682">
        <v>0.83</v>
      </c>
      <c r="H682" t="s">
        <v>31</v>
      </c>
      <c r="I682">
        <v>29880</v>
      </c>
      <c r="J682" t="s">
        <v>28</v>
      </c>
      <c r="K682" t="s">
        <v>28</v>
      </c>
      <c r="L682">
        <v>4.67</v>
      </c>
      <c r="M682">
        <v>3.54</v>
      </c>
      <c r="N682">
        <v>4.7699999999999996</v>
      </c>
      <c r="O682" t="s">
        <v>22</v>
      </c>
      <c r="P682" t="s">
        <v>32</v>
      </c>
      <c r="Q682" t="s">
        <v>24</v>
      </c>
    </row>
    <row r="683" spans="1:17" x14ac:dyDescent="0.35">
      <c r="A683">
        <v>682</v>
      </c>
      <c r="B683" t="s">
        <v>17</v>
      </c>
      <c r="C683">
        <v>16</v>
      </c>
      <c r="D683" t="s">
        <v>18</v>
      </c>
      <c r="E683" t="s">
        <v>19</v>
      </c>
      <c r="F683">
        <v>21</v>
      </c>
      <c r="G683">
        <v>0.84</v>
      </c>
      <c r="H683" t="s">
        <v>20</v>
      </c>
      <c r="I683">
        <v>44581</v>
      </c>
      <c r="J683" t="s">
        <v>21</v>
      </c>
      <c r="K683" t="s">
        <v>28</v>
      </c>
      <c r="L683">
        <v>4.92</v>
      </c>
      <c r="M683">
        <v>3.61</v>
      </c>
      <c r="N683">
        <v>4.3</v>
      </c>
      <c r="O683" t="s">
        <v>34</v>
      </c>
      <c r="P683" t="s">
        <v>32</v>
      </c>
      <c r="Q683" t="s">
        <v>29</v>
      </c>
    </row>
    <row r="684" spans="1:17" x14ac:dyDescent="0.35">
      <c r="A684">
        <v>683</v>
      </c>
      <c r="B684" t="s">
        <v>17</v>
      </c>
      <c r="C684">
        <v>15</v>
      </c>
      <c r="D684" t="s">
        <v>26</v>
      </c>
      <c r="E684" t="s">
        <v>35</v>
      </c>
      <c r="F684">
        <v>17</v>
      </c>
      <c r="G684">
        <v>0.91</v>
      </c>
      <c r="H684" t="s">
        <v>20</v>
      </c>
      <c r="I684">
        <v>54439</v>
      </c>
      <c r="J684" t="s">
        <v>21</v>
      </c>
      <c r="K684" t="s">
        <v>21</v>
      </c>
      <c r="L684">
        <v>4.55</v>
      </c>
      <c r="M684">
        <v>4.49</v>
      </c>
      <c r="N684">
        <v>3.33</v>
      </c>
      <c r="O684" t="s">
        <v>36</v>
      </c>
      <c r="P684" t="s">
        <v>32</v>
      </c>
      <c r="Q684" t="s">
        <v>29</v>
      </c>
    </row>
    <row r="685" spans="1:17" x14ac:dyDescent="0.35">
      <c r="A685">
        <v>684</v>
      </c>
      <c r="B685" t="s">
        <v>25</v>
      </c>
      <c r="C685">
        <v>15</v>
      </c>
      <c r="D685" t="s">
        <v>41</v>
      </c>
      <c r="E685" t="s">
        <v>19</v>
      </c>
      <c r="F685">
        <v>20</v>
      </c>
      <c r="G685">
        <v>0.91</v>
      </c>
      <c r="H685" t="s">
        <v>20</v>
      </c>
      <c r="I685">
        <v>24308</v>
      </c>
      <c r="J685" t="s">
        <v>28</v>
      </c>
      <c r="K685" t="s">
        <v>28</v>
      </c>
      <c r="L685">
        <v>4.24</v>
      </c>
      <c r="M685">
        <v>4.1500000000000004</v>
      </c>
      <c r="N685">
        <v>3.07</v>
      </c>
      <c r="O685" t="s">
        <v>36</v>
      </c>
      <c r="P685" t="s">
        <v>32</v>
      </c>
      <c r="Q685" t="s">
        <v>29</v>
      </c>
    </row>
    <row r="686" spans="1:17" x14ac:dyDescent="0.35">
      <c r="A686">
        <v>685</v>
      </c>
      <c r="B686" t="s">
        <v>17</v>
      </c>
      <c r="C686">
        <v>17</v>
      </c>
      <c r="D686" t="s">
        <v>30</v>
      </c>
      <c r="E686" t="s">
        <v>19</v>
      </c>
      <c r="F686">
        <v>26</v>
      </c>
      <c r="G686">
        <v>0.64</v>
      </c>
      <c r="H686" t="s">
        <v>31</v>
      </c>
      <c r="I686">
        <v>36027</v>
      </c>
      <c r="J686" t="s">
        <v>21</v>
      </c>
      <c r="K686" t="s">
        <v>21</v>
      </c>
      <c r="L686">
        <v>4.21</v>
      </c>
      <c r="M686">
        <v>4.6500000000000004</v>
      </c>
      <c r="N686">
        <v>3.28</v>
      </c>
      <c r="O686" t="s">
        <v>36</v>
      </c>
      <c r="P686" t="s">
        <v>32</v>
      </c>
      <c r="Q686" t="s">
        <v>29</v>
      </c>
    </row>
    <row r="687" spans="1:17" x14ac:dyDescent="0.35">
      <c r="A687">
        <v>686</v>
      </c>
      <c r="B687" t="s">
        <v>25</v>
      </c>
      <c r="C687">
        <v>15</v>
      </c>
      <c r="D687" t="s">
        <v>39</v>
      </c>
      <c r="E687" t="s">
        <v>19</v>
      </c>
      <c r="F687">
        <v>8</v>
      </c>
      <c r="G687">
        <v>0.95</v>
      </c>
      <c r="H687" t="s">
        <v>40</v>
      </c>
      <c r="I687">
        <v>40720</v>
      </c>
      <c r="J687" t="s">
        <v>28</v>
      </c>
      <c r="K687" t="s">
        <v>28</v>
      </c>
      <c r="L687">
        <v>4.7</v>
      </c>
      <c r="M687">
        <v>4.99</v>
      </c>
      <c r="N687">
        <v>4.22</v>
      </c>
      <c r="O687" t="s">
        <v>34</v>
      </c>
      <c r="P687" t="s">
        <v>23</v>
      </c>
      <c r="Q687" t="s">
        <v>29</v>
      </c>
    </row>
    <row r="688" spans="1:17" x14ac:dyDescent="0.35">
      <c r="A688">
        <v>687</v>
      </c>
      <c r="B688" t="s">
        <v>25</v>
      </c>
      <c r="C688">
        <v>18</v>
      </c>
      <c r="D688" t="s">
        <v>18</v>
      </c>
      <c r="E688" t="s">
        <v>35</v>
      </c>
      <c r="F688">
        <v>9</v>
      </c>
      <c r="G688">
        <v>0.98</v>
      </c>
      <c r="H688" t="s">
        <v>27</v>
      </c>
      <c r="I688">
        <v>45081</v>
      </c>
      <c r="J688" t="s">
        <v>21</v>
      </c>
      <c r="K688" t="s">
        <v>28</v>
      </c>
      <c r="L688">
        <v>4.08</v>
      </c>
      <c r="M688">
        <v>4.49</v>
      </c>
      <c r="N688">
        <v>3.36</v>
      </c>
      <c r="O688" t="s">
        <v>36</v>
      </c>
      <c r="P688" t="s">
        <v>23</v>
      </c>
      <c r="Q688" t="s">
        <v>29</v>
      </c>
    </row>
    <row r="689" spans="1:17" x14ac:dyDescent="0.35">
      <c r="A689">
        <v>688</v>
      </c>
      <c r="B689" t="s">
        <v>17</v>
      </c>
      <c r="C689">
        <v>15</v>
      </c>
      <c r="D689" t="s">
        <v>42</v>
      </c>
      <c r="E689" t="s">
        <v>19</v>
      </c>
      <c r="F689">
        <v>9</v>
      </c>
      <c r="G689">
        <v>0.75</v>
      </c>
      <c r="H689" t="s">
        <v>31</v>
      </c>
      <c r="I689">
        <v>19706</v>
      </c>
      <c r="J689" t="s">
        <v>21</v>
      </c>
      <c r="K689" t="s">
        <v>28</v>
      </c>
      <c r="L689">
        <v>4.6100000000000003</v>
      </c>
      <c r="M689">
        <v>3.58</v>
      </c>
      <c r="N689">
        <v>3.45</v>
      </c>
      <c r="O689" t="s">
        <v>36</v>
      </c>
      <c r="P689" t="s">
        <v>23</v>
      </c>
      <c r="Q689" t="s">
        <v>29</v>
      </c>
    </row>
    <row r="690" spans="1:17" x14ac:dyDescent="0.35">
      <c r="A690">
        <v>689</v>
      </c>
      <c r="B690" t="s">
        <v>17</v>
      </c>
      <c r="C690">
        <v>15</v>
      </c>
      <c r="D690" t="s">
        <v>39</v>
      </c>
      <c r="E690" t="s">
        <v>19</v>
      </c>
      <c r="F690">
        <v>13</v>
      </c>
      <c r="G690">
        <v>0.92</v>
      </c>
      <c r="H690" t="s">
        <v>20</v>
      </c>
      <c r="I690">
        <v>19837</v>
      </c>
      <c r="J690" t="s">
        <v>28</v>
      </c>
      <c r="K690" t="s">
        <v>21</v>
      </c>
      <c r="L690">
        <v>4.0199999999999996</v>
      </c>
      <c r="M690">
        <v>3.66</v>
      </c>
      <c r="N690">
        <v>3.05</v>
      </c>
      <c r="O690" t="s">
        <v>36</v>
      </c>
      <c r="P690" t="s">
        <v>23</v>
      </c>
      <c r="Q690" t="s">
        <v>29</v>
      </c>
    </row>
    <row r="691" spans="1:17" x14ac:dyDescent="0.35">
      <c r="A691">
        <v>690</v>
      </c>
      <c r="B691" t="s">
        <v>25</v>
      </c>
      <c r="C691">
        <v>18</v>
      </c>
      <c r="D691" t="s">
        <v>33</v>
      </c>
      <c r="E691" t="s">
        <v>19</v>
      </c>
      <c r="F691">
        <v>21</v>
      </c>
      <c r="G691">
        <v>0.8</v>
      </c>
      <c r="H691" t="s">
        <v>31</v>
      </c>
      <c r="I691">
        <v>48599</v>
      </c>
      <c r="J691" t="s">
        <v>21</v>
      </c>
      <c r="K691" t="s">
        <v>28</v>
      </c>
      <c r="L691">
        <v>3.12</v>
      </c>
      <c r="M691">
        <v>4.82</v>
      </c>
      <c r="N691">
        <v>4.45</v>
      </c>
      <c r="O691" t="s">
        <v>34</v>
      </c>
      <c r="P691" t="s">
        <v>32</v>
      </c>
      <c r="Q691" t="s">
        <v>24</v>
      </c>
    </row>
    <row r="692" spans="1:17" x14ac:dyDescent="0.35">
      <c r="A692">
        <v>691</v>
      </c>
      <c r="B692" t="s">
        <v>25</v>
      </c>
      <c r="C692">
        <v>16</v>
      </c>
      <c r="D692" t="s">
        <v>26</v>
      </c>
      <c r="E692" t="s">
        <v>19</v>
      </c>
      <c r="F692">
        <v>17</v>
      </c>
      <c r="G692">
        <v>0.68</v>
      </c>
      <c r="H692" t="s">
        <v>20</v>
      </c>
      <c r="I692">
        <v>46824</v>
      </c>
      <c r="J692" t="s">
        <v>28</v>
      </c>
      <c r="K692" t="s">
        <v>28</v>
      </c>
      <c r="L692">
        <v>3.77</v>
      </c>
      <c r="M692">
        <v>4.29</v>
      </c>
      <c r="N692">
        <v>4.62</v>
      </c>
      <c r="O692" t="s">
        <v>22</v>
      </c>
      <c r="P692" t="s">
        <v>32</v>
      </c>
      <c r="Q692" t="s">
        <v>24</v>
      </c>
    </row>
    <row r="693" spans="1:17" x14ac:dyDescent="0.35">
      <c r="A693">
        <v>692</v>
      </c>
      <c r="B693" t="s">
        <v>25</v>
      </c>
      <c r="C693">
        <v>16</v>
      </c>
      <c r="D693" t="s">
        <v>39</v>
      </c>
      <c r="E693" t="s">
        <v>19</v>
      </c>
      <c r="F693">
        <v>6</v>
      </c>
      <c r="G693">
        <v>0.65</v>
      </c>
      <c r="H693" t="s">
        <v>27</v>
      </c>
      <c r="I693">
        <v>43073</v>
      </c>
      <c r="J693" t="s">
        <v>21</v>
      </c>
      <c r="K693" t="s">
        <v>28</v>
      </c>
      <c r="L693">
        <v>3.89</v>
      </c>
      <c r="M693">
        <v>4.74</v>
      </c>
      <c r="N693">
        <v>4.59</v>
      </c>
      <c r="O693" t="s">
        <v>22</v>
      </c>
      <c r="P693" t="s">
        <v>23</v>
      </c>
      <c r="Q693" t="s">
        <v>24</v>
      </c>
    </row>
    <row r="694" spans="1:17" x14ac:dyDescent="0.35">
      <c r="A694">
        <v>693</v>
      </c>
      <c r="B694" t="s">
        <v>17</v>
      </c>
      <c r="C694">
        <v>18</v>
      </c>
      <c r="D694" t="s">
        <v>26</v>
      </c>
      <c r="E694" t="s">
        <v>35</v>
      </c>
      <c r="F694">
        <v>17</v>
      </c>
      <c r="G694">
        <v>0.94</v>
      </c>
      <c r="H694" t="s">
        <v>27</v>
      </c>
      <c r="I694">
        <v>57115</v>
      </c>
      <c r="J694" t="s">
        <v>28</v>
      </c>
      <c r="K694" t="s">
        <v>21</v>
      </c>
      <c r="L694">
        <v>3.28</v>
      </c>
      <c r="M694">
        <v>4.78</v>
      </c>
      <c r="N694">
        <v>3.26</v>
      </c>
      <c r="O694" t="s">
        <v>36</v>
      </c>
      <c r="P694" t="s">
        <v>32</v>
      </c>
      <c r="Q694" t="s">
        <v>29</v>
      </c>
    </row>
    <row r="695" spans="1:17" x14ac:dyDescent="0.35">
      <c r="A695">
        <v>694</v>
      </c>
      <c r="B695" t="s">
        <v>25</v>
      </c>
      <c r="C695">
        <v>17</v>
      </c>
      <c r="D695" t="s">
        <v>26</v>
      </c>
      <c r="E695" t="s">
        <v>19</v>
      </c>
      <c r="F695">
        <v>26</v>
      </c>
      <c r="G695">
        <v>0.98</v>
      </c>
      <c r="H695" t="s">
        <v>40</v>
      </c>
      <c r="I695">
        <v>42088</v>
      </c>
      <c r="J695" t="s">
        <v>21</v>
      </c>
      <c r="K695" t="s">
        <v>28</v>
      </c>
      <c r="L695">
        <v>3.2</v>
      </c>
      <c r="M695">
        <v>4.8899999999999997</v>
      </c>
      <c r="N695">
        <v>4.8099999999999996</v>
      </c>
      <c r="O695" t="s">
        <v>22</v>
      </c>
      <c r="P695" t="s">
        <v>32</v>
      </c>
      <c r="Q695" t="s">
        <v>24</v>
      </c>
    </row>
    <row r="696" spans="1:17" x14ac:dyDescent="0.35">
      <c r="A696">
        <v>695</v>
      </c>
      <c r="B696" t="s">
        <v>25</v>
      </c>
      <c r="C696">
        <v>15</v>
      </c>
      <c r="D696" t="s">
        <v>26</v>
      </c>
      <c r="E696" t="s">
        <v>19</v>
      </c>
      <c r="F696">
        <v>25</v>
      </c>
      <c r="G696">
        <v>0.81</v>
      </c>
      <c r="H696" t="s">
        <v>20</v>
      </c>
      <c r="I696">
        <v>38112</v>
      </c>
      <c r="J696" t="s">
        <v>21</v>
      </c>
      <c r="K696" t="s">
        <v>28</v>
      </c>
      <c r="L696">
        <v>4.07</v>
      </c>
      <c r="M696">
        <v>4.92</v>
      </c>
      <c r="N696">
        <v>4.34</v>
      </c>
      <c r="O696" t="s">
        <v>34</v>
      </c>
      <c r="P696" t="s">
        <v>32</v>
      </c>
      <c r="Q696" t="s">
        <v>24</v>
      </c>
    </row>
    <row r="697" spans="1:17" x14ac:dyDescent="0.35">
      <c r="A697">
        <v>696</v>
      </c>
      <c r="B697" t="s">
        <v>25</v>
      </c>
      <c r="C697">
        <v>18</v>
      </c>
      <c r="D697" t="s">
        <v>30</v>
      </c>
      <c r="E697" t="s">
        <v>35</v>
      </c>
      <c r="F697">
        <v>27</v>
      </c>
      <c r="G697">
        <v>0.64</v>
      </c>
      <c r="H697" t="s">
        <v>40</v>
      </c>
      <c r="I697">
        <v>36299</v>
      </c>
      <c r="J697" t="s">
        <v>21</v>
      </c>
      <c r="K697" t="s">
        <v>21</v>
      </c>
      <c r="L697">
        <v>3.17</v>
      </c>
      <c r="M697">
        <v>4.33</v>
      </c>
      <c r="N697">
        <v>4.8</v>
      </c>
      <c r="O697" t="s">
        <v>22</v>
      </c>
      <c r="P697" t="s">
        <v>32</v>
      </c>
      <c r="Q697" t="s">
        <v>24</v>
      </c>
    </row>
    <row r="698" spans="1:17" x14ac:dyDescent="0.35">
      <c r="A698">
        <v>697</v>
      </c>
      <c r="B698" t="s">
        <v>17</v>
      </c>
      <c r="C698">
        <v>15</v>
      </c>
      <c r="D698" t="s">
        <v>26</v>
      </c>
      <c r="E698" t="s">
        <v>19</v>
      </c>
      <c r="F698">
        <v>23</v>
      </c>
      <c r="G698">
        <v>0.82</v>
      </c>
      <c r="H698" t="s">
        <v>40</v>
      </c>
      <c r="I698">
        <v>44457</v>
      </c>
      <c r="J698" t="s">
        <v>21</v>
      </c>
      <c r="K698" t="s">
        <v>21</v>
      </c>
      <c r="L698">
        <v>3.61</v>
      </c>
      <c r="M698">
        <v>4.01</v>
      </c>
      <c r="N698">
        <v>3.89</v>
      </c>
      <c r="O698" t="s">
        <v>34</v>
      </c>
      <c r="P698" t="s">
        <v>32</v>
      </c>
      <c r="Q698" t="s">
        <v>24</v>
      </c>
    </row>
    <row r="699" spans="1:17" x14ac:dyDescent="0.35">
      <c r="A699">
        <v>698</v>
      </c>
      <c r="B699" t="s">
        <v>25</v>
      </c>
      <c r="C699">
        <v>17</v>
      </c>
      <c r="D699" t="s">
        <v>26</v>
      </c>
      <c r="E699" t="s">
        <v>35</v>
      </c>
      <c r="F699">
        <v>7</v>
      </c>
      <c r="G699">
        <v>0.76</v>
      </c>
      <c r="H699" t="s">
        <v>27</v>
      </c>
      <c r="I699">
        <v>40063</v>
      </c>
      <c r="J699" t="s">
        <v>21</v>
      </c>
      <c r="K699" t="s">
        <v>28</v>
      </c>
      <c r="L699">
        <v>4.49</v>
      </c>
      <c r="M699">
        <v>4.9400000000000004</v>
      </c>
      <c r="N699">
        <v>3.87</v>
      </c>
      <c r="O699" t="s">
        <v>34</v>
      </c>
      <c r="P699" t="s">
        <v>23</v>
      </c>
      <c r="Q699" t="s">
        <v>29</v>
      </c>
    </row>
    <row r="700" spans="1:17" x14ac:dyDescent="0.35">
      <c r="A700">
        <v>699</v>
      </c>
      <c r="B700" t="s">
        <v>25</v>
      </c>
      <c r="C700">
        <v>15</v>
      </c>
      <c r="D700" t="s">
        <v>33</v>
      </c>
      <c r="E700" t="s">
        <v>19</v>
      </c>
      <c r="F700">
        <v>14</v>
      </c>
      <c r="G700">
        <v>0.71</v>
      </c>
      <c r="H700" t="s">
        <v>31</v>
      </c>
      <c r="I700">
        <v>13917</v>
      </c>
      <c r="J700" t="s">
        <v>28</v>
      </c>
      <c r="K700" t="s">
        <v>28</v>
      </c>
      <c r="L700">
        <v>4.93</v>
      </c>
      <c r="M700">
        <v>4.32</v>
      </c>
      <c r="N700">
        <v>4.57</v>
      </c>
      <c r="O700" t="s">
        <v>22</v>
      </c>
      <c r="P700" t="s">
        <v>23</v>
      </c>
      <c r="Q700" t="s">
        <v>29</v>
      </c>
    </row>
    <row r="701" spans="1:17" x14ac:dyDescent="0.35">
      <c r="A701">
        <v>700</v>
      </c>
      <c r="B701" t="s">
        <v>17</v>
      </c>
      <c r="C701">
        <v>18</v>
      </c>
      <c r="D701" t="s">
        <v>42</v>
      </c>
      <c r="E701" t="s">
        <v>35</v>
      </c>
      <c r="F701">
        <v>6</v>
      </c>
      <c r="G701">
        <v>0.82</v>
      </c>
      <c r="H701" t="s">
        <v>31</v>
      </c>
      <c r="I701">
        <v>12936</v>
      </c>
      <c r="J701" t="s">
        <v>21</v>
      </c>
      <c r="K701" t="s">
        <v>28</v>
      </c>
      <c r="L701">
        <v>4.4400000000000004</v>
      </c>
      <c r="M701">
        <v>3.6</v>
      </c>
      <c r="N701">
        <v>3.19</v>
      </c>
      <c r="O701" t="s">
        <v>36</v>
      </c>
      <c r="P701" t="s">
        <v>23</v>
      </c>
      <c r="Q701" t="s">
        <v>29</v>
      </c>
    </row>
    <row r="702" spans="1:17" x14ac:dyDescent="0.35">
      <c r="A702">
        <v>701</v>
      </c>
      <c r="B702" t="s">
        <v>25</v>
      </c>
      <c r="C702">
        <v>15</v>
      </c>
      <c r="D702" t="s">
        <v>41</v>
      </c>
      <c r="E702" t="s">
        <v>35</v>
      </c>
      <c r="F702">
        <v>17</v>
      </c>
      <c r="G702">
        <v>0.75</v>
      </c>
      <c r="H702" t="s">
        <v>40</v>
      </c>
      <c r="I702">
        <v>46630</v>
      </c>
      <c r="J702" t="s">
        <v>28</v>
      </c>
      <c r="K702" t="s">
        <v>21</v>
      </c>
      <c r="L702">
        <v>4.99</v>
      </c>
      <c r="M702">
        <v>4.46</v>
      </c>
      <c r="N702">
        <v>4.04</v>
      </c>
      <c r="O702" t="s">
        <v>34</v>
      </c>
      <c r="P702" t="s">
        <v>32</v>
      </c>
      <c r="Q702" t="s">
        <v>29</v>
      </c>
    </row>
    <row r="703" spans="1:17" x14ac:dyDescent="0.35">
      <c r="A703">
        <v>702</v>
      </c>
      <c r="B703" t="s">
        <v>25</v>
      </c>
      <c r="C703">
        <v>16</v>
      </c>
      <c r="D703" t="s">
        <v>37</v>
      </c>
      <c r="E703" t="s">
        <v>19</v>
      </c>
      <c r="F703">
        <v>23</v>
      </c>
      <c r="G703">
        <v>0.62</v>
      </c>
      <c r="H703" t="s">
        <v>27</v>
      </c>
      <c r="I703">
        <v>24506</v>
      </c>
      <c r="J703" t="s">
        <v>28</v>
      </c>
      <c r="K703" t="s">
        <v>21</v>
      </c>
      <c r="L703">
        <v>4.4000000000000004</v>
      </c>
      <c r="M703">
        <v>4.38</v>
      </c>
      <c r="N703">
        <v>4.67</v>
      </c>
      <c r="O703" t="s">
        <v>22</v>
      </c>
      <c r="P703" t="s">
        <v>32</v>
      </c>
      <c r="Q703" t="s">
        <v>24</v>
      </c>
    </row>
    <row r="704" spans="1:17" x14ac:dyDescent="0.35">
      <c r="A704">
        <v>703</v>
      </c>
      <c r="B704" t="s">
        <v>17</v>
      </c>
      <c r="C704">
        <v>17</v>
      </c>
      <c r="D704" t="s">
        <v>33</v>
      </c>
      <c r="E704" t="s">
        <v>19</v>
      </c>
      <c r="F704">
        <v>21</v>
      </c>
      <c r="G704">
        <v>0.89</v>
      </c>
      <c r="H704" t="s">
        <v>20</v>
      </c>
      <c r="I704">
        <v>38805</v>
      </c>
      <c r="J704" t="s">
        <v>28</v>
      </c>
      <c r="K704" t="s">
        <v>21</v>
      </c>
      <c r="L704">
        <v>3.59</v>
      </c>
      <c r="M704">
        <v>4.84</v>
      </c>
      <c r="N704">
        <v>4.66</v>
      </c>
      <c r="O704" t="s">
        <v>22</v>
      </c>
      <c r="P704" t="s">
        <v>32</v>
      </c>
      <c r="Q704" t="s">
        <v>24</v>
      </c>
    </row>
    <row r="705" spans="1:17" x14ac:dyDescent="0.35">
      <c r="A705">
        <v>704</v>
      </c>
      <c r="B705" t="s">
        <v>25</v>
      </c>
      <c r="C705">
        <v>17</v>
      </c>
      <c r="D705" t="s">
        <v>41</v>
      </c>
      <c r="E705" t="s">
        <v>19</v>
      </c>
      <c r="F705">
        <v>25</v>
      </c>
      <c r="G705">
        <v>0.81</v>
      </c>
      <c r="H705" t="s">
        <v>31</v>
      </c>
      <c r="I705">
        <v>24318</v>
      </c>
      <c r="J705" t="s">
        <v>21</v>
      </c>
      <c r="K705" t="s">
        <v>28</v>
      </c>
      <c r="L705">
        <v>4.34</v>
      </c>
      <c r="M705">
        <v>4.4800000000000004</v>
      </c>
      <c r="N705">
        <v>4.91</v>
      </c>
      <c r="O705" t="s">
        <v>22</v>
      </c>
      <c r="P705" t="s">
        <v>32</v>
      </c>
      <c r="Q705" t="s">
        <v>24</v>
      </c>
    </row>
    <row r="706" spans="1:17" x14ac:dyDescent="0.35">
      <c r="A706">
        <v>705</v>
      </c>
      <c r="B706" t="s">
        <v>17</v>
      </c>
      <c r="C706">
        <v>17</v>
      </c>
      <c r="D706" t="s">
        <v>26</v>
      </c>
      <c r="E706" t="s">
        <v>35</v>
      </c>
      <c r="F706">
        <v>18</v>
      </c>
      <c r="G706">
        <v>0.68</v>
      </c>
      <c r="H706" t="s">
        <v>40</v>
      </c>
      <c r="I706">
        <v>58068</v>
      </c>
      <c r="J706" t="s">
        <v>28</v>
      </c>
      <c r="K706" t="s">
        <v>21</v>
      </c>
      <c r="L706">
        <v>4.4000000000000004</v>
      </c>
      <c r="M706">
        <v>4.0199999999999996</v>
      </c>
      <c r="N706">
        <v>4.4000000000000004</v>
      </c>
      <c r="O706" t="s">
        <v>34</v>
      </c>
      <c r="P706" t="s">
        <v>32</v>
      </c>
      <c r="Q706" t="s">
        <v>38</v>
      </c>
    </row>
    <row r="707" spans="1:17" x14ac:dyDescent="0.35">
      <c r="A707">
        <v>706</v>
      </c>
      <c r="B707" t="s">
        <v>17</v>
      </c>
      <c r="C707">
        <v>18</v>
      </c>
      <c r="D707" t="s">
        <v>42</v>
      </c>
      <c r="E707" t="s">
        <v>35</v>
      </c>
      <c r="F707">
        <v>16</v>
      </c>
      <c r="G707">
        <v>0.88</v>
      </c>
      <c r="H707" t="s">
        <v>31</v>
      </c>
      <c r="I707">
        <v>36026</v>
      </c>
      <c r="J707" t="s">
        <v>21</v>
      </c>
      <c r="K707" t="s">
        <v>28</v>
      </c>
      <c r="L707">
        <v>3.74</v>
      </c>
      <c r="M707">
        <v>4.95</v>
      </c>
      <c r="N707">
        <v>3.42</v>
      </c>
      <c r="O707" t="s">
        <v>36</v>
      </c>
      <c r="P707" t="s">
        <v>32</v>
      </c>
      <c r="Q707" t="s">
        <v>29</v>
      </c>
    </row>
    <row r="708" spans="1:17" x14ac:dyDescent="0.35">
      <c r="A708">
        <v>707</v>
      </c>
      <c r="B708" t="s">
        <v>25</v>
      </c>
      <c r="C708">
        <v>17</v>
      </c>
      <c r="D708" t="s">
        <v>39</v>
      </c>
      <c r="E708" t="s">
        <v>35</v>
      </c>
      <c r="F708">
        <v>25</v>
      </c>
      <c r="G708">
        <v>0.96</v>
      </c>
      <c r="H708" t="s">
        <v>31</v>
      </c>
      <c r="I708">
        <v>37672</v>
      </c>
      <c r="J708" t="s">
        <v>28</v>
      </c>
      <c r="K708" t="s">
        <v>21</v>
      </c>
      <c r="L708">
        <v>3.04</v>
      </c>
      <c r="M708">
        <v>4.7</v>
      </c>
      <c r="N708">
        <v>3.04</v>
      </c>
      <c r="O708" t="s">
        <v>36</v>
      </c>
      <c r="P708" t="s">
        <v>32</v>
      </c>
      <c r="Q708" t="s">
        <v>38</v>
      </c>
    </row>
    <row r="709" spans="1:17" x14ac:dyDescent="0.35">
      <c r="A709">
        <v>708</v>
      </c>
      <c r="B709" t="s">
        <v>25</v>
      </c>
      <c r="C709">
        <v>16</v>
      </c>
      <c r="D709" t="s">
        <v>42</v>
      </c>
      <c r="E709" t="s">
        <v>19</v>
      </c>
      <c r="F709">
        <v>16</v>
      </c>
      <c r="G709">
        <v>0.82</v>
      </c>
      <c r="H709" t="s">
        <v>20</v>
      </c>
      <c r="I709">
        <v>48417</v>
      </c>
      <c r="J709" t="s">
        <v>28</v>
      </c>
      <c r="K709" t="s">
        <v>21</v>
      </c>
      <c r="L709">
        <v>4.41</v>
      </c>
      <c r="M709">
        <v>4.45</v>
      </c>
      <c r="N709">
        <v>3.96</v>
      </c>
      <c r="O709" t="s">
        <v>34</v>
      </c>
      <c r="P709" t="s">
        <v>32</v>
      </c>
      <c r="Q709" t="s">
        <v>29</v>
      </c>
    </row>
    <row r="710" spans="1:17" x14ac:dyDescent="0.35">
      <c r="A710">
        <v>709</v>
      </c>
      <c r="B710" t="s">
        <v>25</v>
      </c>
      <c r="C710">
        <v>18</v>
      </c>
      <c r="D710" t="s">
        <v>33</v>
      </c>
      <c r="E710" t="s">
        <v>35</v>
      </c>
      <c r="F710">
        <v>15</v>
      </c>
      <c r="G710">
        <v>0.72</v>
      </c>
      <c r="H710" t="s">
        <v>27</v>
      </c>
      <c r="I710">
        <v>37281</v>
      </c>
      <c r="J710" t="s">
        <v>28</v>
      </c>
      <c r="K710" t="s">
        <v>21</v>
      </c>
      <c r="L710">
        <v>3.04</v>
      </c>
      <c r="M710">
        <v>3.94</v>
      </c>
      <c r="N710">
        <v>4.03</v>
      </c>
      <c r="O710" t="s">
        <v>34</v>
      </c>
      <c r="P710" t="s">
        <v>32</v>
      </c>
      <c r="Q710" t="s">
        <v>24</v>
      </c>
    </row>
    <row r="711" spans="1:17" x14ac:dyDescent="0.35">
      <c r="A711">
        <v>710</v>
      </c>
      <c r="B711" t="s">
        <v>25</v>
      </c>
      <c r="C711">
        <v>16</v>
      </c>
      <c r="D711" t="s">
        <v>26</v>
      </c>
      <c r="E711" t="s">
        <v>35</v>
      </c>
      <c r="F711">
        <v>11</v>
      </c>
      <c r="G711">
        <v>0.91</v>
      </c>
      <c r="H711" t="s">
        <v>20</v>
      </c>
      <c r="I711">
        <v>58442</v>
      </c>
      <c r="J711" t="s">
        <v>28</v>
      </c>
      <c r="K711" t="s">
        <v>28</v>
      </c>
      <c r="L711">
        <v>4.26</v>
      </c>
      <c r="M711">
        <v>4.0599999999999996</v>
      </c>
      <c r="N711">
        <v>3.48</v>
      </c>
      <c r="O711" t="s">
        <v>36</v>
      </c>
      <c r="P711" t="s">
        <v>23</v>
      </c>
      <c r="Q711" t="s">
        <v>29</v>
      </c>
    </row>
    <row r="712" spans="1:17" x14ac:dyDescent="0.35">
      <c r="A712">
        <v>711</v>
      </c>
      <c r="B712" t="s">
        <v>17</v>
      </c>
      <c r="C712">
        <v>15</v>
      </c>
      <c r="D712" t="s">
        <v>42</v>
      </c>
      <c r="E712" t="s">
        <v>19</v>
      </c>
      <c r="F712">
        <v>8</v>
      </c>
      <c r="G712">
        <v>0.82</v>
      </c>
      <c r="H712" t="s">
        <v>27</v>
      </c>
      <c r="I712">
        <v>38091</v>
      </c>
      <c r="J712" t="s">
        <v>28</v>
      </c>
      <c r="K712" t="s">
        <v>28</v>
      </c>
      <c r="L712">
        <v>3.33</v>
      </c>
      <c r="M712">
        <v>4.5</v>
      </c>
      <c r="N712">
        <v>3.25</v>
      </c>
      <c r="O712" t="s">
        <v>36</v>
      </c>
      <c r="P712" t="s">
        <v>23</v>
      </c>
      <c r="Q712" t="s">
        <v>29</v>
      </c>
    </row>
    <row r="713" spans="1:17" x14ac:dyDescent="0.35">
      <c r="A713">
        <v>712</v>
      </c>
      <c r="B713" t="s">
        <v>25</v>
      </c>
      <c r="C713">
        <v>15</v>
      </c>
      <c r="D713" t="s">
        <v>18</v>
      </c>
      <c r="E713" t="s">
        <v>35</v>
      </c>
      <c r="F713">
        <v>23</v>
      </c>
      <c r="G713">
        <v>0.76</v>
      </c>
      <c r="H713" t="s">
        <v>31</v>
      </c>
      <c r="I713">
        <v>48328</v>
      </c>
      <c r="J713" t="s">
        <v>21</v>
      </c>
      <c r="K713" t="s">
        <v>28</v>
      </c>
      <c r="L713">
        <v>4.13</v>
      </c>
      <c r="M713">
        <v>3.61</v>
      </c>
      <c r="N713">
        <v>4.17</v>
      </c>
      <c r="O713" t="s">
        <v>34</v>
      </c>
      <c r="P713" t="s">
        <v>32</v>
      </c>
      <c r="Q713" t="s">
        <v>24</v>
      </c>
    </row>
    <row r="714" spans="1:17" x14ac:dyDescent="0.35">
      <c r="A714">
        <v>713</v>
      </c>
      <c r="B714" t="s">
        <v>17</v>
      </c>
      <c r="C714">
        <v>15</v>
      </c>
      <c r="D714" t="s">
        <v>42</v>
      </c>
      <c r="E714" t="s">
        <v>35</v>
      </c>
      <c r="F714">
        <v>5</v>
      </c>
      <c r="G714">
        <v>0.99</v>
      </c>
      <c r="H714" t="s">
        <v>40</v>
      </c>
      <c r="I714">
        <v>58219</v>
      </c>
      <c r="J714" t="s">
        <v>28</v>
      </c>
      <c r="K714" t="s">
        <v>28</v>
      </c>
      <c r="L714">
        <v>4.01</v>
      </c>
      <c r="M714">
        <v>3.89</v>
      </c>
      <c r="N714">
        <v>4.53</v>
      </c>
      <c r="O714" t="s">
        <v>22</v>
      </c>
      <c r="P714" t="s">
        <v>23</v>
      </c>
      <c r="Q714" t="s">
        <v>24</v>
      </c>
    </row>
    <row r="715" spans="1:17" x14ac:dyDescent="0.35">
      <c r="A715">
        <v>714</v>
      </c>
      <c r="B715" t="s">
        <v>25</v>
      </c>
      <c r="C715">
        <v>15</v>
      </c>
      <c r="D715" t="s">
        <v>26</v>
      </c>
      <c r="E715" t="s">
        <v>19</v>
      </c>
      <c r="F715">
        <v>28</v>
      </c>
      <c r="G715">
        <v>0.8</v>
      </c>
      <c r="H715" t="s">
        <v>20</v>
      </c>
      <c r="I715">
        <v>28610</v>
      </c>
      <c r="J715" t="s">
        <v>28</v>
      </c>
      <c r="K715" t="s">
        <v>21</v>
      </c>
      <c r="L715">
        <v>3.03</v>
      </c>
      <c r="M715">
        <v>4.57</v>
      </c>
      <c r="N715">
        <v>4.99</v>
      </c>
      <c r="O715" t="s">
        <v>22</v>
      </c>
      <c r="P715" t="s">
        <v>32</v>
      </c>
      <c r="Q715" t="s">
        <v>24</v>
      </c>
    </row>
    <row r="716" spans="1:17" x14ac:dyDescent="0.35">
      <c r="A716">
        <v>715</v>
      </c>
      <c r="B716" t="s">
        <v>25</v>
      </c>
      <c r="C716">
        <v>16</v>
      </c>
      <c r="D716" t="s">
        <v>30</v>
      </c>
      <c r="E716" t="s">
        <v>35</v>
      </c>
      <c r="F716">
        <v>7</v>
      </c>
      <c r="G716">
        <v>0.61</v>
      </c>
      <c r="H716" t="s">
        <v>27</v>
      </c>
      <c r="I716">
        <v>11079</v>
      </c>
      <c r="J716" t="s">
        <v>21</v>
      </c>
      <c r="K716" t="s">
        <v>28</v>
      </c>
      <c r="L716">
        <v>3.73</v>
      </c>
      <c r="M716">
        <v>4.22</v>
      </c>
      <c r="N716">
        <v>4.5199999999999996</v>
      </c>
      <c r="O716" t="s">
        <v>22</v>
      </c>
      <c r="P716" t="s">
        <v>23</v>
      </c>
      <c r="Q716" t="s">
        <v>24</v>
      </c>
    </row>
    <row r="717" spans="1:17" x14ac:dyDescent="0.35">
      <c r="A717">
        <v>716</v>
      </c>
      <c r="B717" t="s">
        <v>25</v>
      </c>
      <c r="C717">
        <v>18</v>
      </c>
      <c r="D717" t="s">
        <v>18</v>
      </c>
      <c r="E717" t="s">
        <v>19</v>
      </c>
      <c r="F717">
        <v>17</v>
      </c>
      <c r="G717">
        <v>0.96</v>
      </c>
      <c r="H717" t="s">
        <v>31</v>
      </c>
      <c r="I717">
        <v>39850</v>
      </c>
      <c r="J717" t="s">
        <v>21</v>
      </c>
      <c r="K717" t="s">
        <v>21</v>
      </c>
      <c r="L717">
        <v>4.2</v>
      </c>
      <c r="M717">
        <v>4.0999999999999996</v>
      </c>
      <c r="N717">
        <v>4.59</v>
      </c>
      <c r="O717" t="s">
        <v>22</v>
      </c>
      <c r="P717" t="s">
        <v>32</v>
      </c>
      <c r="Q717" t="s">
        <v>24</v>
      </c>
    </row>
    <row r="718" spans="1:17" x14ac:dyDescent="0.35">
      <c r="A718">
        <v>717</v>
      </c>
      <c r="B718" t="s">
        <v>17</v>
      </c>
      <c r="C718">
        <v>18</v>
      </c>
      <c r="D718" t="s">
        <v>42</v>
      </c>
      <c r="E718" t="s">
        <v>19</v>
      </c>
      <c r="F718">
        <v>19</v>
      </c>
      <c r="G718">
        <v>0.65</v>
      </c>
      <c r="H718" t="s">
        <v>27</v>
      </c>
      <c r="I718">
        <v>56751</v>
      </c>
      <c r="J718" t="s">
        <v>21</v>
      </c>
      <c r="K718" t="s">
        <v>28</v>
      </c>
      <c r="L718">
        <v>4.7</v>
      </c>
      <c r="M718">
        <v>3.73</v>
      </c>
      <c r="N718">
        <v>4.2300000000000004</v>
      </c>
      <c r="O718" t="s">
        <v>34</v>
      </c>
      <c r="P718" t="s">
        <v>32</v>
      </c>
      <c r="Q718" t="s">
        <v>29</v>
      </c>
    </row>
    <row r="719" spans="1:17" x14ac:dyDescent="0.35">
      <c r="A719">
        <v>718</v>
      </c>
      <c r="B719" t="s">
        <v>25</v>
      </c>
      <c r="C719">
        <v>17</v>
      </c>
      <c r="D719" t="s">
        <v>37</v>
      </c>
      <c r="E719" t="s">
        <v>19</v>
      </c>
      <c r="F719">
        <v>6</v>
      </c>
      <c r="G719">
        <v>0.77</v>
      </c>
      <c r="H719" t="s">
        <v>27</v>
      </c>
      <c r="I719">
        <v>30590</v>
      </c>
      <c r="J719" t="s">
        <v>28</v>
      </c>
      <c r="K719" t="s">
        <v>28</v>
      </c>
      <c r="L719">
        <v>4.78</v>
      </c>
      <c r="M719">
        <v>4.16</v>
      </c>
      <c r="N719">
        <v>4.97</v>
      </c>
      <c r="O719" t="s">
        <v>22</v>
      </c>
      <c r="P719" t="s">
        <v>23</v>
      </c>
      <c r="Q719" t="s">
        <v>24</v>
      </c>
    </row>
    <row r="720" spans="1:17" x14ac:dyDescent="0.35">
      <c r="A720">
        <v>719</v>
      </c>
      <c r="B720" t="s">
        <v>25</v>
      </c>
      <c r="C720">
        <v>16</v>
      </c>
      <c r="D720" t="s">
        <v>37</v>
      </c>
      <c r="E720" t="s">
        <v>19</v>
      </c>
      <c r="F720">
        <v>15</v>
      </c>
      <c r="G720">
        <v>0.89</v>
      </c>
      <c r="H720" t="s">
        <v>27</v>
      </c>
      <c r="I720">
        <v>40951</v>
      </c>
      <c r="J720" t="s">
        <v>28</v>
      </c>
      <c r="K720" t="s">
        <v>21</v>
      </c>
      <c r="L720">
        <v>3.97</v>
      </c>
      <c r="M720">
        <v>4.66</v>
      </c>
      <c r="N720">
        <v>4.28</v>
      </c>
      <c r="O720" t="s">
        <v>34</v>
      </c>
      <c r="P720" t="s">
        <v>32</v>
      </c>
      <c r="Q720" t="s">
        <v>24</v>
      </c>
    </row>
    <row r="721" spans="1:17" x14ac:dyDescent="0.35">
      <c r="A721">
        <v>720</v>
      </c>
      <c r="B721" t="s">
        <v>25</v>
      </c>
      <c r="C721">
        <v>15</v>
      </c>
      <c r="D721" t="s">
        <v>42</v>
      </c>
      <c r="E721" t="s">
        <v>19</v>
      </c>
      <c r="F721">
        <v>8</v>
      </c>
      <c r="G721">
        <v>0.81</v>
      </c>
      <c r="H721" t="s">
        <v>31</v>
      </c>
      <c r="I721">
        <v>25327</v>
      </c>
      <c r="J721" t="s">
        <v>28</v>
      </c>
      <c r="K721" t="s">
        <v>21</v>
      </c>
      <c r="L721">
        <v>4.46</v>
      </c>
      <c r="M721">
        <v>3.9</v>
      </c>
      <c r="N721">
        <v>4.72</v>
      </c>
      <c r="O721" t="s">
        <v>22</v>
      </c>
      <c r="P721" t="s">
        <v>23</v>
      </c>
      <c r="Q721" t="s">
        <v>24</v>
      </c>
    </row>
    <row r="722" spans="1:17" x14ac:dyDescent="0.35">
      <c r="A722">
        <v>721</v>
      </c>
      <c r="B722" t="s">
        <v>25</v>
      </c>
      <c r="C722">
        <v>16</v>
      </c>
      <c r="D722" t="s">
        <v>30</v>
      </c>
      <c r="E722" t="s">
        <v>35</v>
      </c>
      <c r="F722">
        <v>23</v>
      </c>
      <c r="G722">
        <v>0.92</v>
      </c>
      <c r="H722" t="s">
        <v>40</v>
      </c>
      <c r="I722">
        <v>22755</v>
      </c>
      <c r="J722" t="s">
        <v>28</v>
      </c>
      <c r="K722" t="s">
        <v>28</v>
      </c>
      <c r="L722">
        <v>3.63</v>
      </c>
      <c r="M722">
        <v>3.51</v>
      </c>
      <c r="N722">
        <v>4.8899999999999997</v>
      </c>
      <c r="O722" t="s">
        <v>22</v>
      </c>
      <c r="P722" t="s">
        <v>32</v>
      </c>
      <c r="Q722" t="s">
        <v>24</v>
      </c>
    </row>
    <row r="723" spans="1:17" x14ac:dyDescent="0.35">
      <c r="A723">
        <v>722</v>
      </c>
      <c r="B723" t="s">
        <v>17</v>
      </c>
      <c r="C723">
        <v>17</v>
      </c>
      <c r="D723" t="s">
        <v>39</v>
      </c>
      <c r="E723" t="s">
        <v>35</v>
      </c>
      <c r="F723">
        <v>21</v>
      </c>
      <c r="G723">
        <v>0.89</v>
      </c>
      <c r="H723" t="s">
        <v>40</v>
      </c>
      <c r="I723">
        <v>17235</v>
      </c>
      <c r="J723" t="s">
        <v>28</v>
      </c>
      <c r="K723" t="s">
        <v>28</v>
      </c>
      <c r="L723">
        <v>3.68</v>
      </c>
      <c r="M723">
        <v>4.5</v>
      </c>
      <c r="N723">
        <v>4.8600000000000003</v>
      </c>
      <c r="O723" t="s">
        <v>22</v>
      </c>
      <c r="P723" t="s">
        <v>32</v>
      </c>
      <c r="Q723" t="s">
        <v>24</v>
      </c>
    </row>
    <row r="724" spans="1:17" x14ac:dyDescent="0.35">
      <c r="A724">
        <v>723</v>
      </c>
      <c r="B724" t="s">
        <v>25</v>
      </c>
      <c r="C724">
        <v>17</v>
      </c>
      <c r="D724" t="s">
        <v>26</v>
      </c>
      <c r="E724" t="s">
        <v>19</v>
      </c>
      <c r="F724">
        <v>7</v>
      </c>
      <c r="G724">
        <v>0.76</v>
      </c>
      <c r="H724" t="s">
        <v>40</v>
      </c>
      <c r="I724">
        <v>27197</v>
      </c>
      <c r="J724" t="s">
        <v>28</v>
      </c>
      <c r="K724" t="s">
        <v>21</v>
      </c>
      <c r="L724">
        <v>3.39</v>
      </c>
      <c r="M724">
        <v>4.96</v>
      </c>
      <c r="N724">
        <v>3.76</v>
      </c>
      <c r="O724" t="s">
        <v>34</v>
      </c>
      <c r="P724" t="s">
        <v>23</v>
      </c>
      <c r="Q724" t="s">
        <v>24</v>
      </c>
    </row>
    <row r="725" spans="1:17" x14ac:dyDescent="0.35">
      <c r="A725">
        <v>724</v>
      </c>
      <c r="B725" t="s">
        <v>17</v>
      </c>
      <c r="C725">
        <v>16</v>
      </c>
      <c r="D725" t="s">
        <v>37</v>
      </c>
      <c r="E725" t="s">
        <v>19</v>
      </c>
      <c r="F725">
        <v>22</v>
      </c>
      <c r="G725">
        <v>0.91</v>
      </c>
      <c r="H725" t="s">
        <v>27</v>
      </c>
      <c r="I725">
        <v>31473</v>
      </c>
      <c r="J725" t="s">
        <v>21</v>
      </c>
      <c r="K725" t="s">
        <v>21</v>
      </c>
      <c r="L725">
        <v>4.12</v>
      </c>
      <c r="M725">
        <v>4.41</v>
      </c>
      <c r="N725">
        <v>3.16</v>
      </c>
      <c r="O725" t="s">
        <v>36</v>
      </c>
      <c r="P725" t="s">
        <v>32</v>
      </c>
      <c r="Q725" t="s">
        <v>29</v>
      </c>
    </row>
    <row r="726" spans="1:17" x14ac:dyDescent="0.35">
      <c r="A726">
        <v>725</v>
      </c>
      <c r="B726" t="s">
        <v>17</v>
      </c>
      <c r="C726">
        <v>16</v>
      </c>
      <c r="D726" t="s">
        <v>39</v>
      </c>
      <c r="E726" t="s">
        <v>35</v>
      </c>
      <c r="F726">
        <v>12</v>
      </c>
      <c r="G726">
        <v>0.73</v>
      </c>
      <c r="H726" t="s">
        <v>31</v>
      </c>
      <c r="I726">
        <v>12031</v>
      </c>
      <c r="J726" t="s">
        <v>21</v>
      </c>
      <c r="K726" t="s">
        <v>21</v>
      </c>
      <c r="L726">
        <v>3.63</v>
      </c>
      <c r="M726">
        <v>3.68</v>
      </c>
      <c r="N726">
        <v>3.34</v>
      </c>
      <c r="O726" t="s">
        <v>36</v>
      </c>
      <c r="P726" t="s">
        <v>23</v>
      </c>
      <c r="Q726" t="s">
        <v>29</v>
      </c>
    </row>
    <row r="727" spans="1:17" x14ac:dyDescent="0.35">
      <c r="A727">
        <v>726</v>
      </c>
      <c r="B727" t="s">
        <v>17</v>
      </c>
      <c r="C727">
        <v>16</v>
      </c>
      <c r="D727" t="s">
        <v>42</v>
      </c>
      <c r="E727" t="s">
        <v>19</v>
      </c>
      <c r="F727">
        <v>26</v>
      </c>
      <c r="G727">
        <v>0.69</v>
      </c>
      <c r="H727" t="s">
        <v>27</v>
      </c>
      <c r="I727">
        <v>51282</v>
      </c>
      <c r="J727" t="s">
        <v>28</v>
      </c>
      <c r="K727" t="s">
        <v>21</v>
      </c>
      <c r="L727">
        <v>3.17</v>
      </c>
      <c r="M727">
        <v>3.98</v>
      </c>
      <c r="N727">
        <v>3.12</v>
      </c>
      <c r="O727" t="s">
        <v>36</v>
      </c>
      <c r="P727" t="s">
        <v>32</v>
      </c>
      <c r="Q727" t="s">
        <v>29</v>
      </c>
    </row>
    <row r="728" spans="1:17" x14ac:dyDescent="0.35">
      <c r="A728">
        <v>727</v>
      </c>
      <c r="B728" t="s">
        <v>17</v>
      </c>
      <c r="C728">
        <v>18</v>
      </c>
      <c r="D728" t="s">
        <v>33</v>
      </c>
      <c r="E728" t="s">
        <v>19</v>
      </c>
      <c r="F728">
        <v>29</v>
      </c>
      <c r="G728">
        <v>0.95</v>
      </c>
      <c r="H728" t="s">
        <v>40</v>
      </c>
      <c r="I728">
        <v>51863</v>
      </c>
      <c r="J728" t="s">
        <v>28</v>
      </c>
      <c r="K728" t="s">
        <v>21</v>
      </c>
      <c r="L728">
        <v>4.37</v>
      </c>
      <c r="M728">
        <v>4.8</v>
      </c>
      <c r="N728">
        <v>3.21</v>
      </c>
      <c r="O728" t="s">
        <v>36</v>
      </c>
      <c r="P728" t="s">
        <v>32</v>
      </c>
      <c r="Q728" t="s">
        <v>29</v>
      </c>
    </row>
    <row r="729" spans="1:17" x14ac:dyDescent="0.35">
      <c r="A729">
        <v>728</v>
      </c>
      <c r="B729" t="s">
        <v>17</v>
      </c>
      <c r="C729">
        <v>15</v>
      </c>
      <c r="D729" t="s">
        <v>39</v>
      </c>
      <c r="E729" t="s">
        <v>19</v>
      </c>
      <c r="F729">
        <v>28</v>
      </c>
      <c r="G729">
        <v>0.93</v>
      </c>
      <c r="H729" t="s">
        <v>40</v>
      </c>
      <c r="I729">
        <v>24287</v>
      </c>
      <c r="J729" t="s">
        <v>28</v>
      </c>
      <c r="K729" t="s">
        <v>28</v>
      </c>
      <c r="L729">
        <v>4.42</v>
      </c>
      <c r="M729">
        <v>3.85</v>
      </c>
      <c r="N729">
        <v>3.37</v>
      </c>
      <c r="O729" t="s">
        <v>36</v>
      </c>
      <c r="P729" t="s">
        <v>32</v>
      </c>
      <c r="Q729" t="s">
        <v>29</v>
      </c>
    </row>
    <row r="730" spans="1:17" x14ac:dyDescent="0.35">
      <c r="A730">
        <v>729</v>
      </c>
      <c r="B730" t="s">
        <v>17</v>
      </c>
      <c r="C730">
        <v>16</v>
      </c>
      <c r="D730" t="s">
        <v>18</v>
      </c>
      <c r="E730" t="s">
        <v>35</v>
      </c>
      <c r="F730">
        <v>23</v>
      </c>
      <c r="G730">
        <v>0.68</v>
      </c>
      <c r="H730" t="s">
        <v>31</v>
      </c>
      <c r="I730">
        <v>48679</v>
      </c>
      <c r="J730" t="s">
        <v>28</v>
      </c>
      <c r="K730" t="s">
        <v>28</v>
      </c>
      <c r="L730">
        <v>3.72</v>
      </c>
      <c r="M730">
        <v>4.41</v>
      </c>
      <c r="N730">
        <v>3.68</v>
      </c>
      <c r="O730" t="s">
        <v>34</v>
      </c>
      <c r="P730" t="s">
        <v>32</v>
      </c>
      <c r="Q730" t="s">
        <v>29</v>
      </c>
    </row>
    <row r="731" spans="1:17" x14ac:dyDescent="0.35">
      <c r="A731">
        <v>730</v>
      </c>
      <c r="B731" t="s">
        <v>25</v>
      </c>
      <c r="C731">
        <v>16</v>
      </c>
      <c r="D731" t="s">
        <v>41</v>
      </c>
      <c r="E731" t="s">
        <v>35</v>
      </c>
      <c r="F731">
        <v>9</v>
      </c>
      <c r="G731">
        <v>0.87</v>
      </c>
      <c r="H731" t="s">
        <v>27</v>
      </c>
      <c r="I731">
        <v>54463</v>
      </c>
      <c r="J731" t="s">
        <v>28</v>
      </c>
      <c r="K731" t="s">
        <v>28</v>
      </c>
      <c r="L731">
        <v>3.15</v>
      </c>
      <c r="M731">
        <v>4.0999999999999996</v>
      </c>
      <c r="N731">
        <v>4.09</v>
      </c>
      <c r="O731" t="s">
        <v>34</v>
      </c>
      <c r="P731" t="s">
        <v>23</v>
      </c>
      <c r="Q731" t="s">
        <v>24</v>
      </c>
    </row>
    <row r="732" spans="1:17" x14ac:dyDescent="0.35">
      <c r="A732">
        <v>731</v>
      </c>
      <c r="B732" t="s">
        <v>17</v>
      </c>
      <c r="C732">
        <v>16</v>
      </c>
      <c r="D732" t="s">
        <v>37</v>
      </c>
      <c r="E732" t="s">
        <v>19</v>
      </c>
      <c r="F732">
        <v>11</v>
      </c>
      <c r="G732">
        <v>0.7</v>
      </c>
      <c r="H732" t="s">
        <v>20</v>
      </c>
      <c r="I732">
        <v>42230</v>
      </c>
      <c r="J732" t="s">
        <v>21</v>
      </c>
      <c r="K732" t="s">
        <v>28</v>
      </c>
      <c r="L732">
        <v>3.85</v>
      </c>
      <c r="M732">
        <v>3.81</v>
      </c>
      <c r="N732">
        <v>4.42</v>
      </c>
      <c r="O732" t="s">
        <v>34</v>
      </c>
      <c r="P732" t="s">
        <v>23</v>
      </c>
      <c r="Q732" t="s">
        <v>24</v>
      </c>
    </row>
    <row r="733" spans="1:17" x14ac:dyDescent="0.35">
      <c r="A733">
        <v>732</v>
      </c>
      <c r="B733" t="s">
        <v>17</v>
      </c>
      <c r="C733">
        <v>17</v>
      </c>
      <c r="D733" t="s">
        <v>42</v>
      </c>
      <c r="E733" t="s">
        <v>19</v>
      </c>
      <c r="F733">
        <v>25</v>
      </c>
      <c r="G733">
        <v>0.73</v>
      </c>
      <c r="H733" t="s">
        <v>20</v>
      </c>
      <c r="I733">
        <v>29037</v>
      </c>
      <c r="J733" t="s">
        <v>21</v>
      </c>
      <c r="K733" t="s">
        <v>21</v>
      </c>
      <c r="L733">
        <v>3.88</v>
      </c>
      <c r="M733">
        <v>4.72</v>
      </c>
      <c r="N733">
        <v>3.42</v>
      </c>
      <c r="O733" t="s">
        <v>36</v>
      </c>
      <c r="P733" t="s">
        <v>32</v>
      </c>
      <c r="Q733" t="s">
        <v>29</v>
      </c>
    </row>
    <row r="734" spans="1:17" x14ac:dyDescent="0.35">
      <c r="A734">
        <v>733</v>
      </c>
      <c r="B734" t="s">
        <v>17</v>
      </c>
      <c r="C734">
        <v>17</v>
      </c>
      <c r="D734" t="s">
        <v>33</v>
      </c>
      <c r="E734" t="s">
        <v>35</v>
      </c>
      <c r="F734">
        <v>12</v>
      </c>
      <c r="G734">
        <v>0.98</v>
      </c>
      <c r="H734" t="s">
        <v>40</v>
      </c>
      <c r="I734">
        <v>37052</v>
      </c>
      <c r="J734" t="s">
        <v>28</v>
      </c>
      <c r="K734" t="s">
        <v>21</v>
      </c>
      <c r="L734">
        <v>4.34</v>
      </c>
      <c r="M734">
        <v>4.6100000000000003</v>
      </c>
      <c r="N734">
        <v>4.3499999999999996</v>
      </c>
      <c r="O734" t="s">
        <v>34</v>
      </c>
      <c r="P734" t="s">
        <v>23</v>
      </c>
      <c r="Q734" t="s">
        <v>24</v>
      </c>
    </row>
    <row r="735" spans="1:17" x14ac:dyDescent="0.35">
      <c r="A735">
        <v>734</v>
      </c>
      <c r="B735" t="s">
        <v>25</v>
      </c>
      <c r="C735">
        <v>18</v>
      </c>
      <c r="D735" t="s">
        <v>26</v>
      </c>
      <c r="E735" t="s">
        <v>35</v>
      </c>
      <c r="F735">
        <v>9</v>
      </c>
      <c r="G735">
        <v>0.78</v>
      </c>
      <c r="H735" t="s">
        <v>31</v>
      </c>
      <c r="I735">
        <v>13340</v>
      </c>
      <c r="J735" t="s">
        <v>21</v>
      </c>
      <c r="K735" t="s">
        <v>21</v>
      </c>
      <c r="L735">
        <v>3.63</v>
      </c>
      <c r="M735">
        <v>4.49</v>
      </c>
      <c r="N735">
        <v>4.41</v>
      </c>
      <c r="O735" t="s">
        <v>34</v>
      </c>
      <c r="P735" t="s">
        <v>23</v>
      </c>
      <c r="Q735" t="s">
        <v>24</v>
      </c>
    </row>
    <row r="736" spans="1:17" x14ac:dyDescent="0.35">
      <c r="A736">
        <v>735</v>
      </c>
      <c r="B736" t="s">
        <v>25</v>
      </c>
      <c r="C736">
        <v>15</v>
      </c>
      <c r="D736" t="s">
        <v>33</v>
      </c>
      <c r="E736" t="s">
        <v>19</v>
      </c>
      <c r="F736">
        <v>21</v>
      </c>
      <c r="G736">
        <v>0.74</v>
      </c>
      <c r="H736" t="s">
        <v>27</v>
      </c>
      <c r="I736">
        <v>50644</v>
      </c>
      <c r="J736" t="s">
        <v>28</v>
      </c>
      <c r="K736" t="s">
        <v>28</v>
      </c>
      <c r="L736">
        <v>4.37</v>
      </c>
      <c r="M736">
        <v>3.85</v>
      </c>
      <c r="N736">
        <v>4.12</v>
      </c>
      <c r="O736" t="s">
        <v>34</v>
      </c>
      <c r="P736" t="s">
        <v>32</v>
      </c>
      <c r="Q736" t="s">
        <v>29</v>
      </c>
    </row>
    <row r="737" spans="1:17" x14ac:dyDescent="0.35">
      <c r="A737">
        <v>736</v>
      </c>
      <c r="B737" t="s">
        <v>17</v>
      </c>
      <c r="C737">
        <v>18</v>
      </c>
      <c r="D737" t="s">
        <v>30</v>
      </c>
      <c r="E737" t="s">
        <v>19</v>
      </c>
      <c r="F737">
        <v>9</v>
      </c>
      <c r="G737">
        <v>0.87</v>
      </c>
      <c r="H737" t="s">
        <v>27</v>
      </c>
      <c r="I737">
        <v>58664</v>
      </c>
      <c r="J737" t="s">
        <v>28</v>
      </c>
      <c r="K737" t="s">
        <v>21</v>
      </c>
      <c r="L737">
        <v>4.74</v>
      </c>
      <c r="M737">
        <v>3.65</v>
      </c>
      <c r="N737">
        <v>4.8099999999999996</v>
      </c>
      <c r="O737" t="s">
        <v>22</v>
      </c>
      <c r="P737" t="s">
        <v>23</v>
      </c>
      <c r="Q737" t="s">
        <v>24</v>
      </c>
    </row>
    <row r="738" spans="1:17" x14ac:dyDescent="0.35">
      <c r="A738">
        <v>737</v>
      </c>
      <c r="B738" t="s">
        <v>25</v>
      </c>
      <c r="C738">
        <v>15</v>
      </c>
      <c r="D738" t="s">
        <v>18</v>
      </c>
      <c r="E738" t="s">
        <v>35</v>
      </c>
      <c r="F738">
        <v>8</v>
      </c>
      <c r="G738">
        <v>0.83</v>
      </c>
      <c r="H738" t="s">
        <v>40</v>
      </c>
      <c r="I738">
        <v>55203</v>
      </c>
      <c r="J738" t="s">
        <v>28</v>
      </c>
      <c r="K738" t="s">
        <v>21</v>
      </c>
      <c r="L738">
        <v>3.47</v>
      </c>
      <c r="M738">
        <v>4.3600000000000003</v>
      </c>
      <c r="N738">
        <v>3.22</v>
      </c>
      <c r="O738" t="s">
        <v>36</v>
      </c>
      <c r="P738" t="s">
        <v>23</v>
      </c>
      <c r="Q738" t="s">
        <v>29</v>
      </c>
    </row>
    <row r="739" spans="1:17" x14ac:dyDescent="0.35">
      <c r="A739">
        <v>738</v>
      </c>
      <c r="B739" t="s">
        <v>17</v>
      </c>
      <c r="C739">
        <v>17</v>
      </c>
      <c r="D739" t="s">
        <v>42</v>
      </c>
      <c r="E739" t="s">
        <v>35</v>
      </c>
      <c r="F739">
        <v>26</v>
      </c>
      <c r="G739">
        <v>0.67</v>
      </c>
      <c r="H739" t="s">
        <v>40</v>
      </c>
      <c r="I739">
        <v>11141</v>
      </c>
      <c r="J739" t="s">
        <v>21</v>
      </c>
      <c r="K739" t="s">
        <v>28</v>
      </c>
      <c r="L739">
        <v>4.96</v>
      </c>
      <c r="M739">
        <v>4.33</v>
      </c>
      <c r="N739">
        <v>3.35</v>
      </c>
      <c r="O739" t="s">
        <v>36</v>
      </c>
      <c r="P739" t="s">
        <v>32</v>
      </c>
      <c r="Q739" t="s">
        <v>29</v>
      </c>
    </row>
    <row r="740" spans="1:17" x14ac:dyDescent="0.35">
      <c r="A740">
        <v>739</v>
      </c>
      <c r="B740" t="s">
        <v>17</v>
      </c>
      <c r="C740">
        <v>17</v>
      </c>
      <c r="D740" t="s">
        <v>26</v>
      </c>
      <c r="E740" t="s">
        <v>35</v>
      </c>
      <c r="F740">
        <v>23</v>
      </c>
      <c r="G740">
        <v>0.68</v>
      </c>
      <c r="H740" t="s">
        <v>27</v>
      </c>
      <c r="I740">
        <v>35425</v>
      </c>
      <c r="J740" t="s">
        <v>21</v>
      </c>
      <c r="K740" t="s">
        <v>28</v>
      </c>
      <c r="L740">
        <v>3.77</v>
      </c>
      <c r="M740">
        <v>3.78</v>
      </c>
      <c r="N740">
        <v>3.86</v>
      </c>
      <c r="O740" t="s">
        <v>34</v>
      </c>
      <c r="P740" t="s">
        <v>32</v>
      </c>
      <c r="Q740" t="s">
        <v>24</v>
      </c>
    </row>
    <row r="741" spans="1:17" x14ac:dyDescent="0.35">
      <c r="A741">
        <v>740</v>
      </c>
      <c r="B741" t="s">
        <v>25</v>
      </c>
      <c r="C741">
        <v>17</v>
      </c>
      <c r="D741" t="s">
        <v>30</v>
      </c>
      <c r="E741" t="s">
        <v>19</v>
      </c>
      <c r="F741">
        <v>25</v>
      </c>
      <c r="G741">
        <v>0.92</v>
      </c>
      <c r="H741" t="s">
        <v>27</v>
      </c>
      <c r="I741">
        <v>29281</v>
      </c>
      <c r="J741" t="s">
        <v>28</v>
      </c>
      <c r="K741" t="s">
        <v>28</v>
      </c>
      <c r="L741">
        <v>3.53</v>
      </c>
      <c r="M741">
        <v>3.58</v>
      </c>
      <c r="N741">
        <v>3.25</v>
      </c>
      <c r="O741" t="s">
        <v>36</v>
      </c>
      <c r="P741" t="s">
        <v>32</v>
      </c>
      <c r="Q741" t="s">
        <v>29</v>
      </c>
    </row>
    <row r="742" spans="1:17" x14ac:dyDescent="0.35">
      <c r="A742">
        <v>741</v>
      </c>
      <c r="B742" t="s">
        <v>17</v>
      </c>
      <c r="C742">
        <v>18</v>
      </c>
      <c r="D742" t="s">
        <v>30</v>
      </c>
      <c r="E742" t="s">
        <v>35</v>
      </c>
      <c r="F742">
        <v>6</v>
      </c>
      <c r="G742">
        <v>0.92</v>
      </c>
      <c r="H742" t="s">
        <v>40</v>
      </c>
      <c r="I742">
        <v>52049</v>
      </c>
      <c r="J742" t="s">
        <v>21</v>
      </c>
      <c r="K742" t="s">
        <v>21</v>
      </c>
      <c r="L742">
        <v>3.84</v>
      </c>
      <c r="M742">
        <v>3.62</v>
      </c>
      <c r="N742">
        <v>4.13</v>
      </c>
      <c r="O742" t="s">
        <v>34</v>
      </c>
      <c r="P742" t="s">
        <v>23</v>
      </c>
      <c r="Q742" t="s">
        <v>24</v>
      </c>
    </row>
    <row r="743" spans="1:17" x14ac:dyDescent="0.35">
      <c r="A743">
        <v>742</v>
      </c>
      <c r="B743" t="s">
        <v>25</v>
      </c>
      <c r="C743">
        <v>16</v>
      </c>
      <c r="D743" t="s">
        <v>42</v>
      </c>
      <c r="E743" t="s">
        <v>19</v>
      </c>
      <c r="F743">
        <v>15</v>
      </c>
      <c r="G743">
        <v>0.78</v>
      </c>
      <c r="H743" t="s">
        <v>27</v>
      </c>
      <c r="I743">
        <v>30425</v>
      </c>
      <c r="J743" t="s">
        <v>21</v>
      </c>
      <c r="K743" t="s">
        <v>21</v>
      </c>
      <c r="L743">
        <v>3.19</v>
      </c>
      <c r="M743">
        <v>4.99</v>
      </c>
      <c r="N743">
        <v>3.8</v>
      </c>
      <c r="O743" t="s">
        <v>34</v>
      </c>
      <c r="P743" t="s">
        <v>32</v>
      </c>
      <c r="Q743" t="s">
        <v>24</v>
      </c>
    </row>
    <row r="744" spans="1:17" x14ac:dyDescent="0.35">
      <c r="A744">
        <v>743</v>
      </c>
      <c r="B744" t="s">
        <v>25</v>
      </c>
      <c r="C744">
        <v>16</v>
      </c>
      <c r="D744" t="s">
        <v>18</v>
      </c>
      <c r="E744" t="s">
        <v>35</v>
      </c>
      <c r="F744">
        <v>26</v>
      </c>
      <c r="G744">
        <v>0.62</v>
      </c>
      <c r="H744" t="s">
        <v>20</v>
      </c>
      <c r="I744">
        <v>44806</v>
      </c>
      <c r="J744" t="s">
        <v>28</v>
      </c>
      <c r="K744" t="s">
        <v>28</v>
      </c>
      <c r="L744">
        <v>3.25</v>
      </c>
      <c r="M744">
        <v>4.68</v>
      </c>
      <c r="N744">
        <v>3.57</v>
      </c>
      <c r="O744" t="s">
        <v>34</v>
      </c>
      <c r="P744" t="s">
        <v>32</v>
      </c>
      <c r="Q744" t="s">
        <v>24</v>
      </c>
    </row>
    <row r="745" spans="1:17" x14ac:dyDescent="0.35">
      <c r="A745">
        <v>744</v>
      </c>
      <c r="B745" t="s">
        <v>17</v>
      </c>
      <c r="C745">
        <v>17</v>
      </c>
      <c r="D745" t="s">
        <v>39</v>
      </c>
      <c r="E745" t="s">
        <v>35</v>
      </c>
      <c r="F745">
        <v>17</v>
      </c>
      <c r="G745">
        <v>0.69</v>
      </c>
      <c r="H745" t="s">
        <v>40</v>
      </c>
      <c r="I745">
        <v>42113</v>
      </c>
      <c r="J745" t="s">
        <v>21</v>
      </c>
      <c r="K745" t="s">
        <v>28</v>
      </c>
      <c r="L745">
        <v>3.83</v>
      </c>
      <c r="M745">
        <v>4.88</v>
      </c>
      <c r="N745">
        <v>3.34</v>
      </c>
      <c r="O745" t="s">
        <v>36</v>
      </c>
      <c r="P745" t="s">
        <v>32</v>
      </c>
      <c r="Q745" t="s">
        <v>29</v>
      </c>
    </row>
    <row r="746" spans="1:17" x14ac:dyDescent="0.35">
      <c r="A746">
        <v>745</v>
      </c>
      <c r="B746" t="s">
        <v>17</v>
      </c>
      <c r="C746">
        <v>16</v>
      </c>
      <c r="D746" t="s">
        <v>39</v>
      </c>
      <c r="E746" t="s">
        <v>35</v>
      </c>
      <c r="F746">
        <v>19</v>
      </c>
      <c r="G746">
        <v>0.99</v>
      </c>
      <c r="H746" t="s">
        <v>27</v>
      </c>
      <c r="I746">
        <v>14270</v>
      </c>
      <c r="J746" t="s">
        <v>21</v>
      </c>
      <c r="K746" t="s">
        <v>21</v>
      </c>
      <c r="L746">
        <v>4.5199999999999996</v>
      </c>
      <c r="M746">
        <v>3.79</v>
      </c>
      <c r="N746">
        <v>3.67</v>
      </c>
      <c r="O746" t="s">
        <v>34</v>
      </c>
      <c r="P746" t="s">
        <v>32</v>
      </c>
      <c r="Q746" t="s">
        <v>29</v>
      </c>
    </row>
    <row r="747" spans="1:17" x14ac:dyDescent="0.35">
      <c r="A747">
        <v>746</v>
      </c>
      <c r="B747" t="s">
        <v>25</v>
      </c>
      <c r="C747">
        <v>16</v>
      </c>
      <c r="D747" t="s">
        <v>30</v>
      </c>
      <c r="E747" t="s">
        <v>35</v>
      </c>
      <c r="F747">
        <v>16</v>
      </c>
      <c r="G747">
        <v>0.6</v>
      </c>
      <c r="H747" t="s">
        <v>40</v>
      </c>
      <c r="I747">
        <v>52814</v>
      </c>
      <c r="J747" t="s">
        <v>28</v>
      </c>
      <c r="K747" t="s">
        <v>28</v>
      </c>
      <c r="L747">
        <v>4.8</v>
      </c>
      <c r="M747">
        <v>4.9400000000000004</v>
      </c>
      <c r="N747">
        <v>4.22</v>
      </c>
      <c r="O747" t="s">
        <v>34</v>
      </c>
      <c r="P747" t="s">
        <v>32</v>
      </c>
      <c r="Q747" t="s">
        <v>29</v>
      </c>
    </row>
    <row r="748" spans="1:17" x14ac:dyDescent="0.35">
      <c r="A748">
        <v>747</v>
      </c>
      <c r="B748" t="s">
        <v>17</v>
      </c>
      <c r="C748">
        <v>18</v>
      </c>
      <c r="D748" t="s">
        <v>39</v>
      </c>
      <c r="E748" t="s">
        <v>19</v>
      </c>
      <c r="F748">
        <v>26</v>
      </c>
      <c r="G748">
        <v>0.88</v>
      </c>
      <c r="H748" t="s">
        <v>31</v>
      </c>
      <c r="I748">
        <v>14683</v>
      </c>
      <c r="J748" t="s">
        <v>28</v>
      </c>
      <c r="K748" t="s">
        <v>21</v>
      </c>
      <c r="L748">
        <v>4.33</v>
      </c>
      <c r="M748">
        <v>3.71</v>
      </c>
      <c r="N748">
        <v>4.1500000000000004</v>
      </c>
      <c r="O748" t="s">
        <v>34</v>
      </c>
      <c r="P748" t="s">
        <v>32</v>
      </c>
      <c r="Q748" t="s">
        <v>29</v>
      </c>
    </row>
    <row r="749" spans="1:17" x14ac:dyDescent="0.35">
      <c r="A749">
        <v>748</v>
      </c>
      <c r="B749" t="s">
        <v>17</v>
      </c>
      <c r="C749">
        <v>15</v>
      </c>
      <c r="D749" t="s">
        <v>41</v>
      </c>
      <c r="E749" t="s">
        <v>19</v>
      </c>
      <c r="F749">
        <v>25</v>
      </c>
      <c r="G749">
        <v>0.93</v>
      </c>
      <c r="H749" t="s">
        <v>40</v>
      </c>
      <c r="I749">
        <v>59646</v>
      </c>
      <c r="J749" t="s">
        <v>21</v>
      </c>
      <c r="K749" t="s">
        <v>28</v>
      </c>
      <c r="L749">
        <v>3.21</v>
      </c>
      <c r="M749">
        <v>4.26</v>
      </c>
      <c r="N749">
        <v>3.33</v>
      </c>
      <c r="O749" t="s">
        <v>36</v>
      </c>
      <c r="P749" t="s">
        <v>32</v>
      </c>
      <c r="Q749" t="s">
        <v>24</v>
      </c>
    </row>
    <row r="750" spans="1:17" x14ac:dyDescent="0.35">
      <c r="A750">
        <v>749</v>
      </c>
      <c r="B750" t="s">
        <v>17</v>
      </c>
      <c r="C750">
        <v>17</v>
      </c>
      <c r="D750" t="s">
        <v>30</v>
      </c>
      <c r="E750" t="s">
        <v>35</v>
      </c>
      <c r="F750">
        <v>26</v>
      </c>
      <c r="G750">
        <v>0.72</v>
      </c>
      <c r="H750" t="s">
        <v>40</v>
      </c>
      <c r="I750">
        <v>49884</v>
      </c>
      <c r="J750" t="s">
        <v>28</v>
      </c>
      <c r="K750" t="s">
        <v>28</v>
      </c>
      <c r="L750">
        <v>4.34</v>
      </c>
      <c r="M750">
        <v>4.74</v>
      </c>
      <c r="N750">
        <v>3.25</v>
      </c>
      <c r="O750" t="s">
        <v>36</v>
      </c>
      <c r="P750" t="s">
        <v>32</v>
      </c>
      <c r="Q750" t="s">
        <v>29</v>
      </c>
    </row>
    <row r="751" spans="1:17" x14ac:dyDescent="0.35">
      <c r="A751">
        <v>750</v>
      </c>
      <c r="B751" t="s">
        <v>25</v>
      </c>
      <c r="C751">
        <v>17</v>
      </c>
      <c r="D751" t="s">
        <v>30</v>
      </c>
      <c r="E751" t="s">
        <v>19</v>
      </c>
      <c r="F751">
        <v>15</v>
      </c>
      <c r="G751">
        <v>0.6</v>
      </c>
      <c r="H751" t="s">
        <v>31</v>
      </c>
      <c r="I751">
        <v>39809</v>
      </c>
      <c r="J751" t="s">
        <v>21</v>
      </c>
      <c r="K751" t="s">
        <v>28</v>
      </c>
      <c r="L751">
        <v>4.2699999999999996</v>
      </c>
      <c r="M751">
        <v>4.0199999999999996</v>
      </c>
      <c r="N751">
        <v>3.05</v>
      </c>
      <c r="O751" t="s">
        <v>36</v>
      </c>
      <c r="P751" t="s">
        <v>32</v>
      </c>
      <c r="Q751" t="s">
        <v>29</v>
      </c>
    </row>
    <row r="752" spans="1:17" x14ac:dyDescent="0.35">
      <c r="A752">
        <v>751</v>
      </c>
      <c r="B752" t="s">
        <v>25</v>
      </c>
      <c r="C752">
        <v>18</v>
      </c>
      <c r="D752" t="s">
        <v>26</v>
      </c>
      <c r="E752" t="s">
        <v>35</v>
      </c>
      <c r="F752">
        <v>11</v>
      </c>
      <c r="G752">
        <v>0.93</v>
      </c>
      <c r="H752" t="s">
        <v>20</v>
      </c>
      <c r="I752">
        <v>44552</v>
      </c>
      <c r="J752" t="s">
        <v>28</v>
      </c>
      <c r="K752" t="s">
        <v>21</v>
      </c>
      <c r="L752">
        <v>4.6100000000000003</v>
      </c>
      <c r="M752">
        <v>4.1399999999999997</v>
      </c>
      <c r="N752">
        <v>3.02</v>
      </c>
      <c r="O752" t="s">
        <v>36</v>
      </c>
      <c r="P752" t="s">
        <v>23</v>
      </c>
      <c r="Q752" t="s">
        <v>29</v>
      </c>
    </row>
    <row r="753" spans="1:17" x14ac:dyDescent="0.35">
      <c r="A753">
        <v>752</v>
      </c>
      <c r="B753" t="s">
        <v>17</v>
      </c>
      <c r="C753">
        <v>18</v>
      </c>
      <c r="D753" t="s">
        <v>39</v>
      </c>
      <c r="E753" t="s">
        <v>35</v>
      </c>
      <c r="F753">
        <v>9</v>
      </c>
      <c r="G753">
        <v>0.88</v>
      </c>
      <c r="H753" t="s">
        <v>27</v>
      </c>
      <c r="I753">
        <v>13786</v>
      </c>
      <c r="J753" t="s">
        <v>28</v>
      </c>
      <c r="K753" t="s">
        <v>21</v>
      </c>
      <c r="L753">
        <v>4.6500000000000004</v>
      </c>
      <c r="M753">
        <v>3.69</v>
      </c>
      <c r="N753">
        <v>4.76</v>
      </c>
      <c r="O753" t="s">
        <v>22</v>
      </c>
      <c r="P753" t="s">
        <v>23</v>
      </c>
      <c r="Q753" t="s">
        <v>24</v>
      </c>
    </row>
    <row r="754" spans="1:17" x14ac:dyDescent="0.35">
      <c r="A754">
        <v>753</v>
      </c>
      <c r="B754" t="s">
        <v>25</v>
      </c>
      <c r="C754">
        <v>16</v>
      </c>
      <c r="D754" t="s">
        <v>18</v>
      </c>
      <c r="E754" t="s">
        <v>35</v>
      </c>
      <c r="F754">
        <v>21</v>
      </c>
      <c r="G754">
        <v>0.72</v>
      </c>
      <c r="H754" t="s">
        <v>31</v>
      </c>
      <c r="I754">
        <v>31650</v>
      </c>
      <c r="J754" t="s">
        <v>28</v>
      </c>
      <c r="K754" t="s">
        <v>28</v>
      </c>
      <c r="L754">
        <v>4.74</v>
      </c>
      <c r="M754">
        <v>3.68</v>
      </c>
      <c r="N754">
        <v>3.09</v>
      </c>
      <c r="O754" t="s">
        <v>36</v>
      </c>
      <c r="P754" t="s">
        <v>32</v>
      </c>
      <c r="Q754" t="s">
        <v>29</v>
      </c>
    </row>
    <row r="755" spans="1:17" x14ac:dyDescent="0.35">
      <c r="A755">
        <v>754</v>
      </c>
      <c r="B755" t="s">
        <v>25</v>
      </c>
      <c r="C755">
        <v>17</v>
      </c>
      <c r="D755" t="s">
        <v>30</v>
      </c>
      <c r="E755" t="s">
        <v>35</v>
      </c>
      <c r="F755">
        <v>28</v>
      </c>
      <c r="G755">
        <v>0.88</v>
      </c>
      <c r="H755" t="s">
        <v>40</v>
      </c>
      <c r="I755">
        <v>38706</v>
      </c>
      <c r="J755" t="s">
        <v>28</v>
      </c>
      <c r="K755" t="s">
        <v>21</v>
      </c>
      <c r="L755">
        <v>3.83</v>
      </c>
      <c r="M755">
        <v>4.43</v>
      </c>
      <c r="N755">
        <v>4.46</v>
      </c>
      <c r="O755" t="s">
        <v>34</v>
      </c>
      <c r="P755" t="s">
        <v>32</v>
      </c>
      <c r="Q755" t="s">
        <v>24</v>
      </c>
    </row>
    <row r="756" spans="1:17" x14ac:dyDescent="0.35">
      <c r="A756">
        <v>755</v>
      </c>
      <c r="B756" t="s">
        <v>25</v>
      </c>
      <c r="C756">
        <v>15</v>
      </c>
      <c r="D756" t="s">
        <v>33</v>
      </c>
      <c r="E756" t="s">
        <v>19</v>
      </c>
      <c r="F756">
        <v>24</v>
      </c>
      <c r="G756">
        <v>0.98</v>
      </c>
      <c r="H756" t="s">
        <v>27</v>
      </c>
      <c r="I756">
        <v>19190</v>
      </c>
      <c r="J756" t="s">
        <v>21</v>
      </c>
      <c r="K756" t="s">
        <v>28</v>
      </c>
      <c r="L756">
        <v>4.4000000000000004</v>
      </c>
      <c r="M756">
        <v>4.51</v>
      </c>
      <c r="N756">
        <v>4.74</v>
      </c>
      <c r="O756" t="s">
        <v>22</v>
      </c>
      <c r="P756" t="s">
        <v>32</v>
      </c>
      <c r="Q756" t="s">
        <v>24</v>
      </c>
    </row>
    <row r="757" spans="1:17" x14ac:dyDescent="0.35">
      <c r="A757">
        <v>756</v>
      </c>
      <c r="B757" t="s">
        <v>25</v>
      </c>
      <c r="C757">
        <v>18</v>
      </c>
      <c r="D757" t="s">
        <v>18</v>
      </c>
      <c r="E757" t="s">
        <v>35</v>
      </c>
      <c r="F757">
        <v>13</v>
      </c>
      <c r="G757">
        <v>0.83</v>
      </c>
      <c r="H757" t="s">
        <v>31</v>
      </c>
      <c r="I757">
        <v>48196</v>
      </c>
      <c r="J757" t="s">
        <v>28</v>
      </c>
      <c r="K757" t="s">
        <v>28</v>
      </c>
      <c r="L757">
        <v>3.54</v>
      </c>
      <c r="M757">
        <v>4.67</v>
      </c>
      <c r="N757">
        <v>3.2</v>
      </c>
      <c r="O757" t="s">
        <v>36</v>
      </c>
      <c r="P757" t="s">
        <v>23</v>
      </c>
      <c r="Q757" t="s">
        <v>29</v>
      </c>
    </row>
    <row r="758" spans="1:17" x14ac:dyDescent="0.35">
      <c r="A758">
        <v>757</v>
      </c>
      <c r="B758" t="s">
        <v>25</v>
      </c>
      <c r="C758">
        <v>15</v>
      </c>
      <c r="D758" t="s">
        <v>41</v>
      </c>
      <c r="E758" t="s">
        <v>35</v>
      </c>
      <c r="F758">
        <v>18</v>
      </c>
      <c r="G758">
        <v>0.85</v>
      </c>
      <c r="H758" t="s">
        <v>27</v>
      </c>
      <c r="I758">
        <v>49449</v>
      </c>
      <c r="J758" t="s">
        <v>28</v>
      </c>
      <c r="K758" t="s">
        <v>21</v>
      </c>
      <c r="L758">
        <v>5</v>
      </c>
      <c r="M758">
        <v>4.34</v>
      </c>
      <c r="N758">
        <v>3.87</v>
      </c>
      <c r="O758" t="s">
        <v>34</v>
      </c>
      <c r="P758" t="s">
        <v>32</v>
      </c>
      <c r="Q758" t="s">
        <v>29</v>
      </c>
    </row>
    <row r="759" spans="1:17" x14ac:dyDescent="0.35">
      <c r="A759">
        <v>758</v>
      </c>
      <c r="B759" t="s">
        <v>17</v>
      </c>
      <c r="C759">
        <v>15</v>
      </c>
      <c r="D759" t="s">
        <v>26</v>
      </c>
      <c r="E759" t="s">
        <v>19</v>
      </c>
      <c r="F759">
        <v>16</v>
      </c>
      <c r="G759">
        <v>0.76</v>
      </c>
      <c r="H759" t="s">
        <v>27</v>
      </c>
      <c r="I759">
        <v>49661</v>
      </c>
      <c r="J759" t="s">
        <v>28</v>
      </c>
      <c r="K759" t="s">
        <v>21</v>
      </c>
      <c r="L759">
        <v>3.35</v>
      </c>
      <c r="M759">
        <v>4.47</v>
      </c>
      <c r="N759">
        <v>4.92</v>
      </c>
      <c r="O759" t="s">
        <v>22</v>
      </c>
      <c r="P759" t="s">
        <v>32</v>
      </c>
      <c r="Q759" t="s">
        <v>24</v>
      </c>
    </row>
    <row r="760" spans="1:17" x14ac:dyDescent="0.35">
      <c r="A760">
        <v>759</v>
      </c>
      <c r="B760" t="s">
        <v>17</v>
      </c>
      <c r="C760">
        <v>17</v>
      </c>
      <c r="D760" t="s">
        <v>42</v>
      </c>
      <c r="E760" t="s">
        <v>35</v>
      </c>
      <c r="F760">
        <v>10</v>
      </c>
      <c r="G760">
        <v>0.66</v>
      </c>
      <c r="H760" t="s">
        <v>31</v>
      </c>
      <c r="I760">
        <v>39709</v>
      </c>
      <c r="J760" t="s">
        <v>21</v>
      </c>
      <c r="K760" t="s">
        <v>21</v>
      </c>
      <c r="L760">
        <v>3.02</v>
      </c>
      <c r="M760">
        <v>3.52</v>
      </c>
      <c r="N760">
        <v>4.67</v>
      </c>
      <c r="O760" t="s">
        <v>22</v>
      </c>
      <c r="P760" t="s">
        <v>23</v>
      </c>
      <c r="Q760" t="s">
        <v>24</v>
      </c>
    </row>
    <row r="761" spans="1:17" x14ac:dyDescent="0.35">
      <c r="A761">
        <v>760</v>
      </c>
      <c r="B761" t="s">
        <v>17</v>
      </c>
      <c r="C761">
        <v>17</v>
      </c>
      <c r="D761" t="s">
        <v>18</v>
      </c>
      <c r="E761" t="s">
        <v>35</v>
      </c>
      <c r="F761">
        <v>21</v>
      </c>
      <c r="G761">
        <v>0.72</v>
      </c>
      <c r="H761" t="s">
        <v>27</v>
      </c>
      <c r="I761">
        <v>55429</v>
      </c>
      <c r="J761" t="s">
        <v>21</v>
      </c>
      <c r="K761" t="s">
        <v>21</v>
      </c>
      <c r="L761">
        <v>3.3</v>
      </c>
      <c r="M761">
        <v>3.74</v>
      </c>
      <c r="N761">
        <v>3.98</v>
      </c>
      <c r="O761" t="s">
        <v>34</v>
      </c>
      <c r="P761" t="s">
        <v>32</v>
      </c>
      <c r="Q761" t="s">
        <v>24</v>
      </c>
    </row>
    <row r="762" spans="1:17" x14ac:dyDescent="0.35">
      <c r="A762">
        <v>761</v>
      </c>
      <c r="B762" t="s">
        <v>25</v>
      </c>
      <c r="C762">
        <v>18</v>
      </c>
      <c r="D762" t="s">
        <v>30</v>
      </c>
      <c r="E762" t="s">
        <v>35</v>
      </c>
      <c r="F762">
        <v>23</v>
      </c>
      <c r="G762">
        <v>0.64</v>
      </c>
      <c r="H762" t="s">
        <v>20</v>
      </c>
      <c r="I762">
        <v>24892</v>
      </c>
      <c r="J762" t="s">
        <v>28</v>
      </c>
      <c r="K762" t="s">
        <v>28</v>
      </c>
      <c r="L762">
        <v>4.55</v>
      </c>
      <c r="M762">
        <v>4.9800000000000004</v>
      </c>
      <c r="N762">
        <v>4.53</v>
      </c>
      <c r="O762" t="s">
        <v>22</v>
      </c>
      <c r="P762" t="s">
        <v>32</v>
      </c>
      <c r="Q762" t="s">
        <v>29</v>
      </c>
    </row>
    <row r="763" spans="1:17" x14ac:dyDescent="0.35">
      <c r="A763">
        <v>762</v>
      </c>
      <c r="B763" t="s">
        <v>25</v>
      </c>
      <c r="C763">
        <v>17</v>
      </c>
      <c r="D763" t="s">
        <v>41</v>
      </c>
      <c r="E763" t="s">
        <v>19</v>
      </c>
      <c r="F763">
        <v>23</v>
      </c>
      <c r="G763">
        <v>0.85</v>
      </c>
      <c r="H763" t="s">
        <v>31</v>
      </c>
      <c r="I763">
        <v>19643</v>
      </c>
      <c r="J763" t="s">
        <v>28</v>
      </c>
      <c r="K763" t="s">
        <v>21</v>
      </c>
      <c r="L763">
        <v>3.89</v>
      </c>
      <c r="M763">
        <v>3.61</v>
      </c>
      <c r="N763">
        <v>4.67</v>
      </c>
      <c r="O763" t="s">
        <v>22</v>
      </c>
      <c r="P763" t="s">
        <v>32</v>
      </c>
      <c r="Q763" t="s">
        <v>24</v>
      </c>
    </row>
    <row r="764" spans="1:17" x14ac:dyDescent="0.35">
      <c r="A764">
        <v>763</v>
      </c>
      <c r="B764" t="s">
        <v>17</v>
      </c>
      <c r="C764">
        <v>17</v>
      </c>
      <c r="D764" t="s">
        <v>37</v>
      </c>
      <c r="E764" t="s">
        <v>35</v>
      </c>
      <c r="F764">
        <v>20</v>
      </c>
      <c r="G764">
        <v>0.62</v>
      </c>
      <c r="H764" t="s">
        <v>20</v>
      </c>
      <c r="I764">
        <v>19943</v>
      </c>
      <c r="J764" t="s">
        <v>28</v>
      </c>
      <c r="K764" t="s">
        <v>21</v>
      </c>
      <c r="L764">
        <v>3.9</v>
      </c>
      <c r="M764">
        <v>4.5199999999999996</v>
      </c>
      <c r="N764">
        <v>3.7</v>
      </c>
      <c r="O764" t="s">
        <v>34</v>
      </c>
      <c r="P764" t="s">
        <v>32</v>
      </c>
      <c r="Q764" t="s">
        <v>29</v>
      </c>
    </row>
    <row r="765" spans="1:17" x14ac:dyDescent="0.35">
      <c r="A765">
        <v>764</v>
      </c>
      <c r="B765" t="s">
        <v>25</v>
      </c>
      <c r="C765">
        <v>17</v>
      </c>
      <c r="D765" t="s">
        <v>41</v>
      </c>
      <c r="E765" t="s">
        <v>19</v>
      </c>
      <c r="F765">
        <v>16</v>
      </c>
      <c r="G765">
        <v>0.66</v>
      </c>
      <c r="H765" t="s">
        <v>40</v>
      </c>
      <c r="I765">
        <v>53240</v>
      </c>
      <c r="J765" t="s">
        <v>28</v>
      </c>
      <c r="K765" t="s">
        <v>28</v>
      </c>
      <c r="L765">
        <v>4.91</v>
      </c>
      <c r="M765">
        <v>3.76</v>
      </c>
      <c r="N765">
        <v>4.78</v>
      </c>
      <c r="O765" t="s">
        <v>22</v>
      </c>
      <c r="P765" t="s">
        <v>32</v>
      </c>
      <c r="Q765" t="s">
        <v>29</v>
      </c>
    </row>
    <row r="766" spans="1:17" x14ac:dyDescent="0.35">
      <c r="A766">
        <v>765</v>
      </c>
      <c r="B766" t="s">
        <v>17</v>
      </c>
      <c r="C766">
        <v>15</v>
      </c>
      <c r="D766" t="s">
        <v>41</v>
      </c>
      <c r="E766" t="s">
        <v>35</v>
      </c>
      <c r="F766">
        <v>16</v>
      </c>
      <c r="G766">
        <v>0.98</v>
      </c>
      <c r="H766" t="s">
        <v>27</v>
      </c>
      <c r="I766">
        <v>55760</v>
      </c>
      <c r="J766" t="s">
        <v>28</v>
      </c>
      <c r="K766" t="s">
        <v>28</v>
      </c>
      <c r="L766">
        <v>4.84</v>
      </c>
      <c r="M766">
        <v>4.58</v>
      </c>
      <c r="N766">
        <v>3.94</v>
      </c>
      <c r="O766" t="s">
        <v>34</v>
      </c>
      <c r="P766" t="s">
        <v>32</v>
      </c>
      <c r="Q766" t="s">
        <v>29</v>
      </c>
    </row>
    <row r="767" spans="1:17" x14ac:dyDescent="0.35">
      <c r="A767">
        <v>766</v>
      </c>
      <c r="B767" t="s">
        <v>17</v>
      </c>
      <c r="C767">
        <v>18</v>
      </c>
      <c r="D767" t="s">
        <v>26</v>
      </c>
      <c r="E767" t="s">
        <v>35</v>
      </c>
      <c r="F767">
        <v>24</v>
      </c>
      <c r="G767">
        <v>0.6</v>
      </c>
      <c r="H767" t="s">
        <v>40</v>
      </c>
      <c r="I767">
        <v>31042</v>
      </c>
      <c r="J767" t="s">
        <v>28</v>
      </c>
      <c r="K767" t="s">
        <v>28</v>
      </c>
      <c r="L767">
        <v>3.62</v>
      </c>
      <c r="M767">
        <v>4.5599999999999996</v>
      </c>
      <c r="N767">
        <v>4.0599999999999996</v>
      </c>
      <c r="O767" t="s">
        <v>34</v>
      </c>
      <c r="P767" t="s">
        <v>32</v>
      </c>
      <c r="Q767" t="s">
        <v>24</v>
      </c>
    </row>
    <row r="768" spans="1:17" x14ac:dyDescent="0.35">
      <c r="A768">
        <v>767</v>
      </c>
      <c r="B768" t="s">
        <v>17</v>
      </c>
      <c r="C768">
        <v>16</v>
      </c>
      <c r="D768" t="s">
        <v>42</v>
      </c>
      <c r="E768" t="s">
        <v>19</v>
      </c>
      <c r="F768">
        <v>10</v>
      </c>
      <c r="G768">
        <v>0.76</v>
      </c>
      <c r="H768" t="s">
        <v>40</v>
      </c>
      <c r="I768">
        <v>53894</v>
      </c>
      <c r="J768" t="s">
        <v>21</v>
      </c>
      <c r="K768" t="s">
        <v>28</v>
      </c>
      <c r="L768">
        <v>3.42</v>
      </c>
      <c r="M768">
        <v>3.85</v>
      </c>
      <c r="N768">
        <v>5</v>
      </c>
      <c r="O768" t="s">
        <v>22</v>
      </c>
      <c r="P768" t="s">
        <v>23</v>
      </c>
      <c r="Q768" t="s">
        <v>24</v>
      </c>
    </row>
    <row r="769" spans="1:17" x14ac:dyDescent="0.35">
      <c r="A769">
        <v>768</v>
      </c>
      <c r="B769" t="s">
        <v>25</v>
      </c>
      <c r="C769">
        <v>15</v>
      </c>
      <c r="D769" t="s">
        <v>37</v>
      </c>
      <c r="E769" t="s">
        <v>35</v>
      </c>
      <c r="F769">
        <v>27</v>
      </c>
      <c r="G769">
        <v>0.84</v>
      </c>
      <c r="H769" t="s">
        <v>27</v>
      </c>
      <c r="I769">
        <v>16869</v>
      </c>
      <c r="J769" t="s">
        <v>28</v>
      </c>
      <c r="K769" t="s">
        <v>21</v>
      </c>
      <c r="L769">
        <v>4.7</v>
      </c>
      <c r="M769">
        <v>3.9</v>
      </c>
      <c r="N769">
        <v>4.6900000000000004</v>
      </c>
      <c r="O769" t="s">
        <v>22</v>
      </c>
      <c r="P769" t="s">
        <v>32</v>
      </c>
      <c r="Q769" t="s">
        <v>29</v>
      </c>
    </row>
    <row r="770" spans="1:17" x14ac:dyDescent="0.35">
      <c r="A770">
        <v>769</v>
      </c>
      <c r="B770" t="s">
        <v>25</v>
      </c>
      <c r="C770">
        <v>17</v>
      </c>
      <c r="D770" t="s">
        <v>39</v>
      </c>
      <c r="E770" t="s">
        <v>35</v>
      </c>
      <c r="F770">
        <v>8</v>
      </c>
      <c r="G770">
        <v>0.62</v>
      </c>
      <c r="H770" t="s">
        <v>31</v>
      </c>
      <c r="I770">
        <v>50437</v>
      </c>
      <c r="J770" t="s">
        <v>28</v>
      </c>
      <c r="K770" t="s">
        <v>21</v>
      </c>
      <c r="L770">
        <v>4.8099999999999996</v>
      </c>
      <c r="M770">
        <v>4.4800000000000004</v>
      </c>
      <c r="N770">
        <v>3.72</v>
      </c>
      <c r="O770" t="s">
        <v>34</v>
      </c>
      <c r="P770" t="s">
        <v>23</v>
      </c>
      <c r="Q770" t="s">
        <v>29</v>
      </c>
    </row>
    <row r="771" spans="1:17" x14ac:dyDescent="0.35">
      <c r="A771">
        <v>770</v>
      </c>
      <c r="B771" t="s">
        <v>17</v>
      </c>
      <c r="C771">
        <v>15</v>
      </c>
      <c r="D771" t="s">
        <v>39</v>
      </c>
      <c r="E771" t="s">
        <v>19</v>
      </c>
      <c r="F771">
        <v>10</v>
      </c>
      <c r="G771">
        <v>0.74</v>
      </c>
      <c r="H771" t="s">
        <v>27</v>
      </c>
      <c r="I771">
        <v>54306</v>
      </c>
      <c r="J771" t="s">
        <v>28</v>
      </c>
      <c r="K771" t="s">
        <v>28</v>
      </c>
      <c r="L771">
        <v>4.08</v>
      </c>
      <c r="M771">
        <v>4.09</v>
      </c>
      <c r="N771">
        <v>3.02</v>
      </c>
      <c r="O771" t="s">
        <v>36</v>
      </c>
      <c r="P771" t="s">
        <v>23</v>
      </c>
      <c r="Q771" t="s">
        <v>29</v>
      </c>
    </row>
    <row r="772" spans="1:17" x14ac:dyDescent="0.35">
      <c r="A772">
        <v>771</v>
      </c>
      <c r="B772" t="s">
        <v>17</v>
      </c>
      <c r="C772">
        <v>17</v>
      </c>
      <c r="D772" t="s">
        <v>18</v>
      </c>
      <c r="E772" t="s">
        <v>19</v>
      </c>
      <c r="F772">
        <v>15</v>
      </c>
      <c r="G772">
        <v>0.88</v>
      </c>
      <c r="H772" t="s">
        <v>40</v>
      </c>
      <c r="I772">
        <v>52833</v>
      </c>
      <c r="J772" t="s">
        <v>28</v>
      </c>
      <c r="K772" t="s">
        <v>28</v>
      </c>
      <c r="L772">
        <v>4.26</v>
      </c>
      <c r="M772">
        <v>3.79</v>
      </c>
      <c r="N772">
        <v>4.25</v>
      </c>
      <c r="O772" t="s">
        <v>34</v>
      </c>
      <c r="P772" t="s">
        <v>32</v>
      </c>
      <c r="Q772" t="s">
        <v>29</v>
      </c>
    </row>
    <row r="773" spans="1:17" x14ac:dyDescent="0.35">
      <c r="A773">
        <v>772</v>
      </c>
      <c r="B773" t="s">
        <v>17</v>
      </c>
      <c r="C773">
        <v>17</v>
      </c>
      <c r="D773" t="s">
        <v>41</v>
      </c>
      <c r="E773" t="s">
        <v>19</v>
      </c>
      <c r="F773">
        <v>5</v>
      </c>
      <c r="G773">
        <v>0.91</v>
      </c>
      <c r="H773" t="s">
        <v>40</v>
      </c>
      <c r="I773">
        <v>30918</v>
      </c>
      <c r="J773" t="s">
        <v>28</v>
      </c>
      <c r="K773" t="s">
        <v>21</v>
      </c>
      <c r="L773">
        <v>3.51</v>
      </c>
      <c r="M773">
        <v>4.5999999999999996</v>
      </c>
      <c r="N773">
        <v>4.41</v>
      </c>
      <c r="O773" t="s">
        <v>34</v>
      </c>
      <c r="P773" t="s">
        <v>23</v>
      </c>
      <c r="Q773" t="s">
        <v>24</v>
      </c>
    </row>
    <row r="774" spans="1:17" x14ac:dyDescent="0.35">
      <c r="A774">
        <v>773</v>
      </c>
      <c r="B774" t="s">
        <v>17</v>
      </c>
      <c r="C774">
        <v>15</v>
      </c>
      <c r="D774" t="s">
        <v>33</v>
      </c>
      <c r="E774" t="s">
        <v>19</v>
      </c>
      <c r="F774">
        <v>28</v>
      </c>
      <c r="G774">
        <v>0.85</v>
      </c>
      <c r="H774" t="s">
        <v>31</v>
      </c>
      <c r="I774">
        <v>38379</v>
      </c>
      <c r="J774" t="s">
        <v>28</v>
      </c>
      <c r="K774" t="s">
        <v>21</v>
      </c>
      <c r="L774">
        <v>4.5999999999999996</v>
      </c>
      <c r="M774">
        <v>3.73</v>
      </c>
      <c r="N774">
        <v>4.3</v>
      </c>
      <c r="O774" t="s">
        <v>34</v>
      </c>
      <c r="P774" t="s">
        <v>32</v>
      </c>
      <c r="Q774" t="s">
        <v>29</v>
      </c>
    </row>
    <row r="775" spans="1:17" x14ac:dyDescent="0.35">
      <c r="A775">
        <v>774</v>
      </c>
      <c r="B775" t="s">
        <v>25</v>
      </c>
      <c r="C775">
        <v>18</v>
      </c>
      <c r="D775" t="s">
        <v>26</v>
      </c>
      <c r="E775" t="s">
        <v>19</v>
      </c>
      <c r="F775">
        <v>27</v>
      </c>
      <c r="G775">
        <v>0.75</v>
      </c>
      <c r="H775" t="s">
        <v>27</v>
      </c>
      <c r="I775">
        <v>52939</v>
      </c>
      <c r="J775" t="s">
        <v>21</v>
      </c>
      <c r="K775" t="s">
        <v>21</v>
      </c>
      <c r="L775">
        <v>4.26</v>
      </c>
      <c r="M775">
        <v>4.78</v>
      </c>
      <c r="N775">
        <v>4.9400000000000004</v>
      </c>
      <c r="O775" t="s">
        <v>22</v>
      </c>
      <c r="P775" t="s">
        <v>32</v>
      </c>
      <c r="Q775" t="s">
        <v>24</v>
      </c>
    </row>
    <row r="776" spans="1:17" x14ac:dyDescent="0.35">
      <c r="A776">
        <v>775</v>
      </c>
      <c r="B776" t="s">
        <v>25</v>
      </c>
      <c r="C776">
        <v>17</v>
      </c>
      <c r="D776" t="s">
        <v>33</v>
      </c>
      <c r="E776" t="s">
        <v>35</v>
      </c>
      <c r="F776">
        <v>19</v>
      </c>
      <c r="G776">
        <v>0.84</v>
      </c>
      <c r="H776" t="s">
        <v>40</v>
      </c>
      <c r="I776">
        <v>35274</v>
      </c>
      <c r="J776" t="s">
        <v>21</v>
      </c>
      <c r="K776" t="s">
        <v>21</v>
      </c>
      <c r="L776">
        <v>4.01</v>
      </c>
      <c r="M776">
        <v>4.2699999999999996</v>
      </c>
      <c r="N776">
        <v>4.7300000000000004</v>
      </c>
      <c r="O776" t="s">
        <v>22</v>
      </c>
      <c r="P776" t="s">
        <v>32</v>
      </c>
      <c r="Q776" t="s">
        <v>24</v>
      </c>
    </row>
    <row r="777" spans="1:17" x14ac:dyDescent="0.35">
      <c r="A777">
        <v>776</v>
      </c>
      <c r="B777" t="s">
        <v>17</v>
      </c>
      <c r="C777">
        <v>18</v>
      </c>
      <c r="D777" t="s">
        <v>26</v>
      </c>
      <c r="E777" t="s">
        <v>19</v>
      </c>
      <c r="F777">
        <v>15</v>
      </c>
      <c r="G777">
        <v>0.87</v>
      </c>
      <c r="H777" t="s">
        <v>20</v>
      </c>
      <c r="I777">
        <v>27696</v>
      </c>
      <c r="J777" t="s">
        <v>21</v>
      </c>
      <c r="K777" t="s">
        <v>21</v>
      </c>
      <c r="L777">
        <v>3.12</v>
      </c>
      <c r="M777">
        <v>3.66</v>
      </c>
      <c r="N777">
        <v>3.9</v>
      </c>
      <c r="O777" t="s">
        <v>34</v>
      </c>
      <c r="P777" t="s">
        <v>32</v>
      </c>
      <c r="Q777" t="s">
        <v>24</v>
      </c>
    </row>
    <row r="778" spans="1:17" x14ac:dyDescent="0.35">
      <c r="A778">
        <v>777</v>
      </c>
      <c r="B778" t="s">
        <v>17</v>
      </c>
      <c r="C778">
        <v>16</v>
      </c>
      <c r="D778" t="s">
        <v>39</v>
      </c>
      <c r="E778" t="s">
        <v>35</v>
      </c>
      <c r="F778">
        <v>29</v>
      </c>
      <c r="G778">
        <v>0.68</v>
      </c>
      <c r="H778" t="s">
        <v>40</v>
      </c>
      <c r="I778">
        <v>12962</v>
      </c>
      <c r="J778" t="s">
        <v>21</v>
      </c>
      <c r="K778" t="s">
        <v>28</v>
      </c>
      <c r="L778">
        <v>4.83</v>
      </c>
      <c r="M778">
        <v>4.54</v>
      </c>
      <c r="N778">
        <v>3.13</v>
      </c>
      <c r="O778" t="s">
        <v>36</v>
      </c>
      <c r="P778" t="s">
        <v>32</v>
      </c>
      <c r="Q778" t="s">
        <v>29</v>
      </c>
    </row>
    <row r="779" spans="1:17" x14ac:dyDescent="0.35">
      <c r="A779">
        <v>778</v>
      </c>
      <c r="B779" t="s">
        <v>25</v>
      </c>
      <c r="C779">
        <v>17</v>
      </c>
      <c r="D779" t="s">
        <v>18</v>
      </c>
      <c r="E779" t="s">
        <v>35</v>
      </c>
      <c r="F779">
        <v>23</v>
      </c>
      <c r="G779">
        <v>0.6</v>
      </c>
      <c r="H779" t="s">
        <v>40</v>
      </c>
      <c r="I779">
        <v>23851</v>
      </c>
      <c r="J779" t="s">
        <v>21</v>
      </c>
      <c r="K779" t="s">
        <v>28</v>
      </c>
      <c r="L779">
        <v>4.2300000000000004</v>
      </c>
      <c r="M779">
        <v>4.28</v>
      </c>
      <c r="N779">
        <v>3.95</v>
      </c>
      <c r="O779" t="s">
        <v>34</v>
      </c>
      <c r="P779" t="s">
        <v>32</v>
      </c>
      <c r="Q779" t="s">
        <v>29</v>
      </c>
    </row>
    <row r="780" spans="1:17" x14ac:dyDescent="0.35">
      <c r="A780">
        <v>779</v>
      </c>
      <c r="B780" t="s">
        <v>25</v>
      </c>
      <c r="C780">
        <v>18</v>
      </c>
      <c r="D780" t="s">
        <v>18</v>
      </c>
      <c r="E780" t="s">
        <v>35</v>
      </c>
      <c r="F780">
        <v>22</v>
      </c>
      <c r="G780">
        <v>0.88</v>
      </c>
      <c r="H780" t="s">
        <v>31</v>
      </c>
      <c r="I780">
        <v>55747</v>
      </c>
      <c r="J780" t="s">
        <v>21</v>
      </c>
      <c r="K780" t="s">
        <v>28</v>
      </c>
      <c r="L780">
        <v>3.39</v>
      </c>
      <c r="M780">
        <v>3.95</v>
      </c>
      <c r="N780">
        <v>4.38</v>
      </c>
      <c r="O780" t="s">
        <v>34</v>
      </c>
      <c r="P780" t="s">
        <v>32</v>
      </c>
      <c r="Q780" t="s">
        <v>24</v>
      </c>
    </row>
    <row r="781" spans="1:17" x14ac:dyDescent="0.35">
      <c r="A781">
        <v>780</v>
      </c>
      <c r="B781" t="s">
        <v>17</v>
      </c>
      <c r="C781">
        <v>18</v>
      </c>
      <c r="D781" t="s">
        <v>18</v>
      </c>
      <c r="E781" t="s">
        <v>19</v>
      </c>
      <c r="F781">
        <v>21</v>
      </c>
      <c r="G781">
        <v>0.81</v>
      </c>
      <c r="H781" t="s">
        <v>20</v>
      </c>
      <c r="I781">
        <v>15296</v>
      </c>
      <c r="J781" t="s">
        <v>28</v>
      </c>
      <c r="K781" t="s">
        <v>28</v>
      </c>
      <c r="L781">
        <v>4.21</v>
      </c>
      <c r="M781">
        <v>4.13</v>
      </c>
      <c r="N781">
        <v>4.22</v>
      </c>
      <c r="O781" t="s">
        <v>34</v>
      </c>
      <c r="P781" t="s">
        <v>32</v>
      </c>
      <c r="Q781" t="s">
        <v>24</v>
      </c>
    </row>
    <row r="782" spans="1:17" x14ac:dyDescent="0.35">
      <c r="A782">
        <v>781</v>
      </c>
      <c r="B782" t="s">
        <v>17</v>
      </c>
      <c r="C782">
        <v>16</v>
      </c>
      <c r="D782" t="s">
        <v>37</v>
      </c>
      <c r="E782" t="s">
        <v>19</v>
      </c>
      <c r="F782">
        <v>23</v>
      </c>
      <c r="G782">
        <v>0.75</v>
      </c>
      <c r="H782" t="s">
        <v>40</v>
      </c>
      <c r="I782">
        <v>24745</v>
      </c>
      <c r="J782" t="s">
        <v>28</v>
      </c>
      <c r="K782" t="s">
        <v>21</v>
      </c>
      <c r="L782">
        <v>4.3499999999999996</v>
      </c>
      <c r="M782">
        <v>3.95</v>
      </c>
      <c r="N782">
        <v>4.08</v>
      </c>
      <c r="O782" t="s">
        <v>34</v>
      </c>
      <c r="P782" t="s">
        <v>32</v>
      </c>
      <c r="Q782" t="s">
        <v>29</v>
      </c>
    </row>
    <row r="783" spans="1:17" x14ac:dyDescent="0.35">
      <c r="A783">
        <v>782</v>
      </c>
      <c r="B783" t="s">
        <v>17</v>
      </c>
      <c r="C783">
        <v>18</v>
      </c>
      <c r="D783" t="s">
        <v>42</v>
      </c>
      <c r="E783" t="s">
        <v>35</v>
      </c>
      <c r="F783">
        <v>25</v>
      </c>
      <c r="G783">
        <v>0.66</v>
      </c>
      <c r="H783" t="s">
        <v>40</v>
      </c>
      <c r="I783">
        <v>15730</v>
      </c>
      <c r="J783" t="s">
        <v>28</v>
      </c>
      <c r="K783" t="s">
        <v>28</v>
      </c>
      <c r="L783">
        <v>4.05</v>
      </c>
      <c r="M783">
        <v>3.89</v>
      </c>
      <c r="N783">
        <v>3.94</v>
      </c>
      <c r="O783" t="s">
        <v>34</v>
      </c>
      <c r="P783" t="s">
        <v>32</v>
      </c>
      <c r="Q783" t="s">
        <v>29</v>
      </c>
    </row>
    <row r="784" spans="1:17" x14ac:dyDescent="0.35">
      <c r="A784">
        <v>783</v>
      </c>
      <c r="B784" t="s">
        <v>25</v>
      </c>
      <c r="C784">
        <v>18</v>
      </c>
      <c r="D784" t="s">
        <v>37</v>
      </c>
      <c r="E784" t="s">
        <v>19</v>
      </c>
      <c r="F784">
        <v>18</v>
      </c>
      <c r="G784">
        <v>0.73</v>
      </c>
      <c r="H784" t="s">
        <v>20</v>
      </c>
      <c r="I784">
        <v>23921</v>
      </c>
      <c r="J784" t="s">
        <v>28</v>
      </c>
      <c r="K784" t="s">
        <v>21</v>
      </c>
      <c r="L784">
        <v>4.4400000000000004</v>
      </c>
      <c r="M784">
        <v>3.75</v>
      </c>
      <c r="N784">
        <v>3.59</v>
      </c>
      <c r="O784" t="s">
        <v>34</v>
      </c>
      <c r="P784" t="s">
        <v>32</v>
      </c>
      <c r="Q784" t="s">
        <v>29</v>
      </c>
    </row>
    <row r="785" spans="1:17" x14ac:dyDescent="0.35">
      <c r="A785">
        <v>784</v>
      </c>
      <c r="B785" t="s">
        <v>25</v>
      </c>
      <c r="C785">
        <v>16</v>
      </c>
      <c r="D785" t="s">
        <v>30</v>
      </c>
      <c r="E785" t="s">
        <v>19</v>
      </c>
      <c r="F785">
        <v>22</v>
      </c>
      <c r="G785">
        <v>0.88</v>
      </c>
      <c r="H785" t="s">
        <v>27</v>
      </c>
      <c r="I785">
        <v>42894</v>
      </c>
      <c r="J785" t="s">
        <v>28</v>
      </c>
      <c r="K785" t="s">
        <v>21</v>
      </c>
      <c r="L785">
        <v>4.16</v>
      </c>
      <c r="M785">
        <v>4.04</v>
      </c>
      <c r="N785">
        <v>3.55</v>
      </c>
      <c r="O785" t="s">
        <v>34</v>
      </c>
      <c r="P785" t="s">
        <v>32</v>
      </c>
      <c r="Q785" t="s">
        <v>29</v>
      </c>
    </row>
    <row r="786" spans="1:17" x14ac:dyDescent="0.35">
      <c r="A786">
        <v>785</v>
      </c>
      <c r="B786" t="s">
        <v>25</v>
      </c>
      <c r="C786">
        <v>17</v>
      </c>
      <c r="D786" t="s">
        <v>30</v>
      </c>
      <c r="E786" t="s">
        <v>19</v>
      </c>
      <c r="F786">
        <v>23</v>
      </c>
      <c r="G786">
        <v>0.78</v>
      </c>
      <c r="H786" t="s">
        <v>27</v>
      </c>
      <c r="I786">
        <v>15602</v>
      </c>
      <c r="J786" t="s">
        <v>28</v>
      </c>
      <c r="K786" t="s">
        <v>21</v>
      </c>
      <c r="L786">
        <v>4.9000000000000004</v>
      </c>
      <c r="M786">
        <v>3.88</v>
      </c>
      <c r="N786">
        <v>4</v>
      </c>
      <c r="O786" t="s">
        <v>34</v>
      </c>
      <c r="P786" t="s">
        <v>32</v>
      </c>
      <c r="Q786" t="s">
        <v>29</v>
      </c>
    </row>
    <row r="787" spans="1:17" x14ac:dyDescent="0.35">
      <c r="A787">
        <v>786</v>
      </c>
      <c r="B787" t="s">
        <v>17</v>
      </c>
      <c r="C787">
        <v>18</v>
      </c>
      <c r="D787" t="s">
        <v>33</v>
      </c>
      <c r="E787" t="s">
        <v>19</v>
      </c>
      <c r="F787">
        <v>19</v>
      </c>
      <c r="G787">
        <v>0.78</v>
      </c>
      <c r="H787" t="s">
        <v>40</v>
      </c>
      <c r="I787">
        <v>27575</v>
      </c>
      <c r="J787" t="s">
        <v>21</v>
      </c>
      <c r="K787" t="s">
        <v>21</v>
      </c>
      <c r="L787">
        <v>3.11</v>
      </c>
      <c r="M787">
        <v>4.53</v>
      </c>
      <c r="N787">
        <v>3.32</v>
      </c>
      <c r="O787" t="s">
        <v>36</v>
      </c>
      <c r="P787" t="s">
        <v>32</v>
      </c>
      <c r="Q787" t="s">
        <v>24</v>
      </c>
    </row>
    <row r="788" spans="1:17" x14ac:dyDescent="0.35">
      <c r="A788">
        <v>787</v>
      </c>
      <c r="B788" t="s">
        <v>17</v>
      </c>
      <c r="C788">
        <v>18</v>
      </c>
      <c r="D788" t="s">
        <v>42</v>
      </c>
      <c r="E788" t="s">
        <v>35</v>
      </c>
      <c r="F788">
        <v>19</v>
      </c>
      <c r="G788">
        <v>0.61</v>
      </c>
      <c r="H788" t="s">
        <v>40</v>
      </c>
      <c r="I788">
        <v>29023</v>
      </c>
      <c r="J788" t="s">
        <v>28</v>
      </c>
      <c r="K788" t="s">
        <v>21</v>
      </c>
      <c r="L788">
        <v>3.21</v>
      </c>
      <c r="M788">
        <v>4.53</v>
      </c>
      <c r="N788">
        <v>3.68</v>
      </c>
      <c r="O788" t="s">
        <v>34</v>
      </c>
      <c r="P788" t="s">
        <v>32</v>
      </c>
      <c r="Q788" t="s">
        <v>24</v>
      </c>
    </row>
    <row r="789" spans="1:17" x14ac:dyDescent="0.35">
      <c r="A789">
        <v>788</v>
      </c>
      <c r="B789" t="s">
        <v>25</v>
      </c>
      <c r="C789">
        <v>18</v>
      </c>
      <c r="D789" t="s">
        <v>39</v>
      </c>
      <c r="E789" t="s">
        <v>35</v>
      </c>
      <c r="F789">
        <v>8</v>
      </c>
      <c r="G789">
        <v>0.74</v>
      </c>
      <c r="H789" t="s">
        <v>27</v>
      </c>
      <c r="I789">
        <v>55349</v>
      </c>
      <c r="J789" t="s">
        <v>21</v>
      </c>
      <c r="K789" t="s">
        <v>21</v>
      </c>
      <c r="L789">
        <v>3.35</v>
      </c>
      <c r="M789">
        <v>4.25</v>
      </c>
      <c r="N789">
        <v>3.65</v>
      </c>
      <c r="O789" t="s">
        <v>34</v>
      </c>
      <c r="P789" t="s">
        <v>23</v>
      </c>
      <c r="Q789" t="s">
        <v>24</v>
      </c>
    </row>
    <row r="790" spans="1:17" x14ac:dyDescent="0.35">
      <c r="A790">
        <v>789</v>
      </c>
      <c r="B790" t="s">
        <v>25</v>
      </c>
      <c r="C790">
        <v>15</v>
      </c>
      <c r="D790" t="s">
        <v>42</v>
      </c>
      <c r="E790" t="s">
        <v>19</v>
      </c>
      <c r="F790">
        <v>11</v>
      </c>
      <c r="G790">
        <v>0.62</v>
      </c>
      <c r="H790" t="s">
        <v>31</v>
      </c>
      <c r="I790">
        <v>25997</v>
      </c>
      <c r="J790" t="s">
        <v>21</v>
      </c>
      <c r="K790" t="s">
        <v>21</v>
      </c>
      <c r="L790">
        <v>4.38</v>
      </c>
      <c r="M790">
        <v>4.67</v>
      </c>
      <c r="N790">
        <v>4.17</v>
      </c>
      <c r="O790" t="s">
        <v>34</v>
      </c>
      <c r="P790" t="s">
        <v>23</v>
      </c>
      <c r="Q790" t="s">
        <v>29</v>
      </c>
    </row>
    <row r="791" spans="1:17" x14ac:dyDescent="0.35">
      <c r="A791">
        <v>790</v>
      </c>
      <c r="B791" t="s">
        <v>17</v>
      </c>
      <c r="C791">
        <v>16</v>
      </c>
      <c r="D791" t="s">
        <v>26</v>
      </c>
      <c r="E791" t="s">
        <v>35</v>
      </c>
      <c r="F791">
        <v>17</v>
      </c>
      <c r="G791">
        <v>0.7</v>
      </c>
      <c r="H791" t="s">
        <v>20</v>
      </c>
      <c r="I791">
        <v>27750</v>
      </c>
      <c r="J791" t="s">
        <v>28</v>
      </c>
      <c r="K791" t="s">
        <v>28</v>
      </c>
      <c r="L791">
        <v>4.29</v>
      </c>
      <c r="M791">
        <v>4.76</v>
      </c>
      <c r="N791">
        <v>3.13</v>
      </c>
      <c r="O791" t="s">
        <v>36</v>
      </c>
      <c r="P791" t="s">
        <v>32</v>
      </c>
      <c r="Q791" t="s">
        <v>29</v>
      </c>
    </row>
    <row r="792" spans="1:17" x14ac:dyDescent="0.35">
      <c r="A792">
        <v>791</v>
      </c>
      <c r="B792" t="s">
        <v>25</v>
      </c>
      <c r="C792">
        <v>15</v>
      </c>
      <c r="D792" t="s">
        <v>30</v>
      </c>
      <c r="E792" t="s">
        <v>19</v>
      </c>
      <c r="F792">
        <v>7</v>
      </c>
      <c r="G792">
        <v>0.89</v>
      </c>
      <c r="H792" t="s">
        <v>20</v>
      </c>
      <c r="I792">
        <v>51979</v>
      </c>
      <c r="J792" t="s">
        <v>28</v>
      </c>
      <c r="K792" t="s">
        <v>21</v>
      </c>
      <c r="L792">
        <v>4.78</v>
      </c>
      <c r="M792">
        <v>4.37</v>
      </c>
      <c r="N792">
        <v>4.66</v>
      </c>
      <c r="O792" t="s">
        <v>22</v>
      </c>
      <c r="P792" t="s">
        <v>23</v>
      </c>
      <c r="Q792" t="s">
        <v>29</v>
      </c>
    </row>
    <row r="793" spans="1:17" x14ac:dyDescent="0.35">
      <c r="A793">
        <v>792</v>
      </c>
      <c r="B793" t="s">
        <v>25</v>
      </c>
      <c r="C793">
        <v>16</v>
      </c>
      <c r="D793" t="s">
        <v>41</v>
      </c>
      <c r="E793" t="s">
        <v>19</v>
      </c>
      <c r="F793">
        <v>20</v>
      </c>
      <c r="G793">
        <v>0.99</v>
      </c>
      <c r="H793" t="s">
        <v>31</v>
      </c>
      <c r="I793">
        <v>32837</v>
      </c>
      <c r="J793" t="s">
        <v>28</v>
      </c>
      <c r="K793" t="s">
        <v>28</v>
      </c>
      <c r="L793">
        <v>4.47</v>
      </c>
      <c r="M793">
        <v>4.43</v>
      </c>
      <c r="N793">
        <v>4.12</v>
      </c>
      <c r="O793" t="s">
        <v>34</v>
      </c>
      <c r="P793" t="s">
        <v>32</v>
      </c>
      <c r="Q793" t="s">
        <v>29</v>
      </c>
    </row>
    <row r="794" spans="1:17" x14ac:dyDescent="0.35">
      <c r="A794">
        <v>793</v>
      </c>
      <c r="B794" t="s">
        <v>17</v>
      </c>
      <c r="C794">
        <v>17</v>
      </c>
      <c r="D794" t="s">
        <v>41</v>
      </c>
      <c r="E794" t="s">
        <v>35</v>
      </c>
      <c r="F794">
        <v>13</v>
      </c>
      <c r="G794">
        <v>0.77</v>
      </c>
      <c r="H794" t="s">
        <v>31</v>
      </c>
      <c r="I794">
        <v>24997</v>
      </c>
      <c r="J794" t="s">
        <v>28</v>
      </c>
      <c r="K794" t="s">
        <v>28</v>
      </c>
      <c r="L794">
        <v>4.0199999999999996</v>
      </c>
      <c r="M794">
        <v>3.92</v>
      </c>
      <c r="N794">
        <v>4.34</v>
      </c>
      <c r="O794" t="s">
        <v>34</v>
      </c>
      <c r="P794" t="s">
        <v>23</v>
      </c>
      <c r="Q794" t="s">
        <v>24</v>
      </c>
    </row>
    <row r="795" spans="1:17" x14ac:dyDescent="0.35">
      <c r="A795">
        <v>794</v>
      </c>
      <c r="B795" t="s">
        <v>25</v>
      </c>
      <c r="C795">
        <v>17</v>
      </c>
      <c r="D795" t="s">
        <v>39</v>
      </c>
      <c r="E795" t="s">
        <v>35</v>
      </c>
      <c r="F795">
        <v>12</v>
      </c>
      <c r="G795">
        <v>0.61</v>
      </c>
      <c r="H795" t="s">
        <v>31</v>
      </c>
      <c r="I795">
        <v>49439</v>
      </c>
      <c r="J795" t="s">
        <v>28</v>
      </c>
      <c r="K795" t="s">
        <v>21</v>
      </c>
      <c r="L795">
        <v>4.9800000000000004</v>
      </c>
      <c r="M795">
        <v>4.84</v>
      </c>
      <c r="N795">
        <v>4.41</v>
      </c>
      <c r="O795" t="s">
        <v>34</v>
      </c>
      <c r="P795" t="s">
        <v>23</v>
      </c>
      <c r="Q795" t="s">
        <v>29</v>
      </c>
    </row>
    <row r="796" spans="1:17" x14ac:dyDescent="0.35">
      <c r="A796">
        <v>795</v>
      </c>
      <c r="B796" t="s">
        <v>17</v>
      </c>
      <c r="C796">
        <v>18</v>
      </c>
      <c r="D796" t="s">
        <v>26</v>
      </c>
      <c r="E796" t="s">
        <v>35</v>
      </c>
      <c r="F796">
        <v>24</v>
      </c>
      <c r="G796">
        <v>0.91</v>
      </c>
      <c r="H796" t="s">
        <v>31</v>
      </c>
      <c r="I796">
        <v>33067</v>
      </c>
      <c r="J796" t="s">
        <v>28</v>
      </c>
      <c r="K796" t="s">
        <v>21</v>
      </c>
      <c r="L796">
        <v>3.53</v>
      </c>
      <c r="M796">
        <v>3.54</v>
      </c>
      <c r="N796">
        <v>3.58</v>
      </c>
      <c r="O796" t="s">
        <v>34</v>
      </c>
      <c r="P796" t="s">
        <v>32</v>
      </c>
      <c r="Q796" t="s">
        <v>24</v>
      </c>
    </row>
    <row r="797" spans="1:17" x14ac:dyDescent="0.35">
      <c r="A797">
        <v>796</v>
      </c>
      <c r="B797" t="s">
        <v>17</v>
      </c>
      <c r="C797">
        <v>16</v>
      </c>
      <c r="D797" t="s">
        <v>33</v>
      </c>
      <c r="E797" t="s">
        <v>19</v>
      </c>
      <c r="F797">
        <v>17</v>
      </c>
      <c r="G797">
        <v>0.67</v>
      </c>
      <c r="H797" t="s">
        <v>31</v>
      </c>
      <c r="I797">
        <v>55039</v>
      </c>
      <c r="J797" t="s">
        <v>28</v>
      </c>
      <c r="K797" t="s">
        <v>28</v>
      </c>
      <c r="L797">
        <v>4.67</v>
      </c>
      <c r="M797">
        <v>4.0199999999999996</v>
      </c>
      <c r="N797">
        <v>3.94</v>
      </c>
      <c r="O797" t="s">
        <v>34</v>
      </c>
      <c r="P797" t="s">
        <v>32</v>
      </c>
      <c r="Q797" t="s">
        <v>29</v>
      </c>
    </row>
    <row r="798" spans="1:17" x14ac:dyDescent="0.35">
      <c r="A798">
        <v>797</v>
      </c>
      <c r="B798" t="s">
        <v>17</v>
      </c>
      <c r="C798">
        <v>17</v>
      </c>
      <c r="D798" t="s">
        <v>37</v>
      </c>
      <c r="E798" t="s">
        <v>35</v>
      </c>
      <c r="F798">
        <v>21</v>
      </c>
      <c r="G798">
        <v>0.81</v>
      </c>
      <c r="H798" t="s">
        <v>31</v>
      </c>
      <c r="I798">
        <v>30923</v>
      </c>
      <c r="J798" t="s">
        <v>21</v>
      </c>
      <c r="K798" t="s">
        <v>28</v>
      </c>
      <c r="L798">
        <v>3.85</v>
      </c>
      <c r="M798">
        <v>4.58</v>
      </c>
      <c r="N798">
        <v>4.91</v>
      </c>
      <c r="O798" t="s">
        <v>22</v>
      </c>
      <c r="P798" t="s">
        <v>32</v>
      </c>
      <c r="Q798" t="s">
        <v>24</v>
      </c>
    </row>
    <row r="799" spans="1:17" x14ac:dyDescent="0.35">
      <c r="A799">
        <v>798</v>
      </c>
      <c r="B799" t="s">
        <v>17</v>
      </c>
      <c r="C799">
        <v>16</v>
      </c>
      <c r="D799" t="s">
        <v>26</v>
      </c>
      <c r="E799" t="s">
        <v>19</v>
      </c>
      <c r="F799">
        <v>21</v>
      </c>
      <c r="G799">
        <v>0.65</v>
      </c>
      <c r="H799" t="s">
        <v>20</v>
      </c>
      <c r="I799">
        <v>18876</v>
      </c>
      <c r="J799" t="s">
        <v>28</v>
      </c>
      <c r="K799" t="s">
        <v>28</v>
      </c>
      <c r="L799">
        <v>4.3</v>
      </c>
      <c r="M799">
        <v>3.62</v>
      </c>
      <c r="N799">
        <v>4.53</v>
      </c>
      <c r="O799" t="s">
        <v>22</v>
      </c>
      <c r="P799" t="s">
        <v>32</v>
      </c>
      <c r="Q799" t="s">
        <v>24</v>
      </c>
    </row>
    <row r="800" spans="1:17" x14ac:dyDescent="0.35">
      <c r="A800">
        <v>799</v>
      </c>
      <c r="B800" t="s">
        <v>17</v>
      </c>
      <c r="C800">
        <v>17</v>
      </c>
      <c r="D800" t="s">
        <v>41</v>
      </c>
      <c r="E800" t="s">
        <v>35</v>
      </c>
      <c r="F800">
        <v>21</v>
      </c>
      <c r="G800">
        <v>0.71</v>
      </c>
      <c r="H800" t="s">
        <v>31</v>
      </c>
      <c r="I800">
        <v>12887</v>
      </c>
      <c r="J800" t="s">
        <v>28</v>
      </c>
      <c r="K800" t="s">
        <v>28</v>
      </c>
      <c r="L800">
        <v>4.45</v>
      </c>
      <c r="M800">
        <v>3.77</v>
      </c>
      <c r="N800">
        <v>4.9400000000000004</v>
      </c>
      <c r="O800" t="s">
        <v>22</v>
      </c>
      <c r="P800" t="s">
        <v>32</v>
      </c>
      <c r="Q800" t="s">
        <v>24</v>
      </c>
    </row>
    <row r="801" spans="1:17" x14ac:dyDescent="0.35">
      <c r="A801">
        <v>800</v>
      </c>
      <c r="B801" t="s">
        <v>17</v>
      </c>
      <c r="C801">
        <v>15</v>
      </c>
      <c r="D801" t="s">
        <v>41</v>
      </c>
      <c r="E801" t="s">
        <v>35</v>
      </c>
      <c r="F801">
        <v>5</v>
      </c>
      <c r="G801">
        <v>0.99</v>
      </c>
      <c r="H801" t="s">
        <v>27</v>
      </c>
      <c r="I801">
        <v>52422</v>
      </c>
      <c r="J801" t="s">
        <v>21</v>
      </c>
      <c r="K801" t="s">
        <v>21</v>
      </c>
      <c r="L801">
        <v>4.2699999999999996</v>
      </c>
      <c r="M801">
        <v>4.38</v>
      </c>
      <c r="N801">
        <v>4.49</v>
      </c>
      <c r="O801" t="s">
        <v>34</v>
      </c>
      <c r="P801" t="s">
        <v>23</v>
      </c>
      <c r="Q801" t="s">
        <v>24</v>
      </c>
    </row>
    <row r="802" spans="1:17" x14ac:dyDescent="0.35">
      <c r="A802">
        <v>801</v>
      </c>
      <c r="B802" t="s">
        <v>17</v>
      </c>
      <c r="C802">
        <v>17</v>
      </c>
      <c r="D802" t="s">
        <v>33</v>
      </c>
      <c r="E802" t="s">
        <v>19</v>
      </c>
      <c r="F802">
        <v>12</v>
      </c>
      <c r="G802">
        <v>0.95</v>
      </c>
      <c r="H802" t="s">
        <v>31</v>
      </c>
      <c r="I802">
        <v>46854</v>
      </c>
      <c r="J802" t="s">
        <v>28</v>
      </c>
      <c r="K802" t="s">
        <v>21</v>
      </c>
      <c r="L802">
        <v>3.28</v>
      </c>
      <c r="M802">
        <v>4.34</v>
      </c>
      <c r="N802">
        <v>3.35</v>
      </c>
      <c r="O802" t="s">
        <v>36</v>
      </c>
      <c r="P802" t="s">
        <v>23</v>
      </c>
      <c r="Q802" t="s">
        <v>24</v>
      </c>
    </row>
    <row r="803" spans="1:17" x14ac:dyDescent="0.35">
      <c r="A803">
        <v>802</v>
      </c>
      <c r="B803" t="s">
        <v>25</v>
      </c>
      <c r="C803">
        <v>15</v>
      </c>
      <c r="D803" t="s">
        <v>30</v>
      </c>
      <c r="E803" t="s">
        <v>19</v>
      </c>
      <c r="F803">
        <v>23</v>
      </c>
      <c r="G803">
        <v>0.74</v>
      </c>
      <c r="H803" t="s">
        <v>31</v>
      </c>
      <c r="I803">
        <v>46948</v>
      </c>
      <c r="J803" t="s">
        <v>28</v>
      </c>
      <c r="K803" t="s">
        <v>21</v>
      </c>
      <c r="L803">
        <v>3.89</v>
      </c>
      <c r="M803">
        <v>4.6100000000000003</v>
      </c>
      <c r="N803">
        <v>3.13</v>
      </c>
      <c r="O803" t="s">
        <v>36</v>
      </c>
      <c r="P803" t="s">
        <v>32</v>
      </c>
      <c r="Q803" t="s">
        <v>29</v>
      </c>
    </row>
    <row r="804" spans="1:17" x14ac:dyDescent="0.35">
      <c r="A804">
        <v>803</v>
      </c>
      <c r="B804" t="s">
        <v>17</v>
      </c>
      <c r="C804">
        <v>17</v>
      </c>
      <c r="D804" t="s">
        <v>26</v>
      </c>
      <c r="E804" t="s">
        <v>19</v>
      </c>
      <c r="F804">
        <v>10</v>
      </c>
      <c r="G804">
        <v>0.87</v>
      </c>
      <c r="H804" t="s">
        <v>20</v>
      </c>
      <c r="I804">
        <v>12841</v>
      </c>
      <c r="J804" t="s">
        <v>21</v>
      </c>
      <c r="K804" t="s">
        <v>28</v>
      </c>
      <c r="L804">
        <v>4.12</v>
      </c>
      <c r="M804">
        <v>4.72</v>
      </c>
      <c r="N804">
        <v>4.16</v>
      </c>
      <c r="O804" t="s">
        <v>34</v>
      </c>
      <c r="P804" t="s">
        <v>23</v>
      </c>
      <c r="Q804" t="s">
        <v>24</v>
      </c>
    </row>
    <row r="805" spans="1:17" x14ac:dyDescent="0.35">
      <c r="A805">
        <v>804</v>
      </c>
      <c r="B805" t="s">
        <v>17</v>
      </c>
      <c r="C805">
        <v>18</v>
      </c>
      <c r="D805" t="s">
        <v>26</v>
      </c>
      <c r="E805" t="s">
        <v>19</v>
      </c>
      <c r="F805">
        <v>7</v>
      </c>
      <c r="G805">
        <v>0.77</v>
      </c>
      <c r="H805" t="s">
        <v>20</v>
      </c>
      <c r="I805">
        <v>38756</v>
      </c>
      <c r="J805" t="s">
        <v>28</v>
      </c>
      <c r="K805" t="s">
        <v>21</v>
      </c>
      <c r="L805">
        <v>4.7</v>
      </c>
      <c r="M805">
        <v>3.69</v>
      </c>
      <c r="N805">
        <v>3.72</v>
      </c>
      <c r="O805" t="s">
        <v>34</v>
      </c>
      <c r="P805" t="s">
        <v>23</v>
      </c>
      <c r="Q805" t="s">
        <v>29</v>
      </c>
    </row>
    <row r="806" spans="1:17" x14ac:dyDescent="0.35">
      <c r="A806">
        <v>805</v>
      </c>
      <c r="B806" t="s">
        <v>25</v>
      </c>
      <c r="C806">
        <v>15</v>
      </c>
      <c r="D806" t="s">
        <v>41</v>
      </c>
      <c r="E806" t="s">
        <v>19</v>
      </c>
      <c r="F806">
        <v>9</v>
      </c>
      <c r="G806">
        <v>0.61</v>
      </c>
      <c r="H806" t="s">
        <v>31</v>
      </c>
      <c r="I806">
        <v>16040</v>
      </c>
      <c r="J806" t="s">
        <v>28</v>
      </c>
      <c r="K806" t="s">
        <v>28</v>
      </c>
      <c r="L806">
        <v>3.89</v>
      </c>
      <c r="M806">
        <v>3.53</v>
      </c>
      <c r="N806">
        <v>3.55</v>
      </c>
      <c r="O806" t="s">
        <v>34</v>
      </c>
      <c r="P806" t="s">
        <v>23</v>
      </c>
      <c r="Q806" t="s">
        <v>29</v>
      </c>
    </row>
    <row r="807" spans="1:17" x14ac:dyDescent="0.35">
      <c r="A807">
        <v>806</v>
      </c>
      <c r="B807" t="s">
        <v>25</v>
      </c>
      <c r="C807">
        <v>17</v>
      </c>
      <c r="D807" t="s">
        <v>37</v>
      </c>
      <c r="E807" t="s">
        <v>19</v>
      </c>
      <c r="F807">
        <v>17</v>
      </c>
      <c r="G807">
        <v>0.72</v>
      </c>
      <c r="H807" t="s">
        <v>20</v>
      </c>
      <c r="I807">
        <v>20304</v>
      </c>
      <c r="J807" t="s">
        <v>28</v>
      </c>
      <c r="K807" t="s">
        <v>21</v>
      </c>
      <c r="L807">
        <v>4.84</v>
      </c>
      <c r="M807">
        <v>4.53</v>
      </c>
      <c r="N807">
        <v>4.6100000000000003</v>
      </c>
      <c r="O807" t="s">
        <v>22</v>
      </c>
      <c r="P807" t="s">
        <v>32</v>
      </c>
      <c r="Q807" t="s">
        <v>29</v>
      </c>
    </row>
    <row r="808" spans="1:17" x14ac:dyDescent="0.35">
      <c r="A808">
        <v>807</v>
      </c>
      <c r="B808" t="s">
        <v>25</v>
      </c>
      <c r="C808">
        <v>18</v>
      </c>
      <c r="D808" t="s">
        <v>39</v>
      </c>
      <c r="E808" t="s">
        <v>19</v>
      </c>
      <c r="F808">
        <v>19</v>
      </c>
      <c r="G808">
        <v>0.74</v>
      </c>
      <c r="H808" t="s">
        <v>40</v>
      </c>
      <c r="I808">
        <v>40341</v>
      </c>
      <c r="J808" t="s">
        <v>28</v>
      </c>
      <c r="K808" t="s">
        <v>28</v>
      </c>
      <c r="L808">
        <v>3.88</v>
      </c>
      <c r="M808">
        <v>3.95</v>
      </c>
      <c r="N808">
        <v>3.73</v>
      </c>
      <c r="O808" t="s">
        <v>34</v>
      </c>
      <c r="P808" t="s">
        <v>32</v>
      </c>
      <c r="Q808" t="s">
        <v>29</v>
      </c>
    </row>
    <row r="809" spans="1:17" x14ac:dyDescent="0.35">
      <c r="A809">
        <v>808</v>
      </c>
      <c r="B809" t="s">
        <v>17</v>
      </c>
      <c r="C809">
        <v>15</v>
      </c>
      <c r="D809" t="s">
        <v>18</v>
      </c>
      <c r="E809" t="s">
        <v>19</v>
      </c>
      <c r="F809">
        <v>18</v>
      </c>
      <c r="G809">
        <v>0.79</v>
      </c>
      <c r="H809" t="s">
        <v>20</v>
      </c>
      <c r="I809">
        <v>14758</v>
      </c>
      <c r="J809" t="s">
        <v>28</v>
      </c>
      <c r="K809" t="s">
        <v>21</v>
      </c>
      <c r="L809">
        <v>4.0999999999999996</v>
      </c>
      <c r="M809">
        <v>4.4400000000000004</v>
      </c>
      <c r="N809">
        <v>3.63</v>
      </c>
      <c r="O809" t="s">
        <v>34</v>
      </c>
      <c r="P809" t="s">
        <v>32</v>
      </c>
      <c r="Q809" t="s">
        <v>29</v>
      </c>
    </row>
    <row r="810" spans="1:17" x14ac:dyDescent="0.35">
      <c r="A810">
        <v>809</v>
      </c>
      <c r="B810" t="s">
        <v>25</v>
      </c>
      <c r="C810">
        <v>18</v>
      </c>
      <c r="D810" t="s">
        <v>39</v>
      </c>
      <c r="E810" t="s">
        <v>35</v>
      </c>
      <c r="F810">
        <v>27</v>
      </c>
      <c r="G810">
        <v>0.88</v>
      </c>
      <c r="H810" t="s">
        <v>20</v>
      </c>
      <c r="I810">
        <v>27010</v>
      </c>
      <c r="J810" t="s">
        <v>28</v>
      </c>
      <c r="K810" t="s">
        <v>21</v>
      </c>
      <c r="L810">
        <v>4.59</v>
      </c>
      <c r="M810">
        <v>3.73</v>
      </c>
      <c r="N810">
        <v>4.7</v>
      </c>
      <c r="O810" t="s">
        <v>22</v>
      </c>
      <c r="P810" t="s">
        <v>32</v>
      </c>
      <c r="Q810" t="s">
        <v>24</v>
      </c>
    </row>
    <row r="811" spans="1:17" x14ac:dyDescent="0.35">
      <c r="A811">
        <v>810</v>
      </c>
      <c r="B811" t="s">
        <v>17</v>
      </c>
      <c r="C811">
        <v>16</v>
      </c>
      <c r="D811" t="s">
        <v>26</v>
      </c>
      <c r="E811" t="s">
        <v>19</v>
      </c>
      <c r="F811">
        <v>20</v>
      </c>
      <c r="G811">
        <v>0.88</v>
      </c>
      <c r="H811" t="s">
        <v>20</v>
      </c>
      <c r="I811">
        <v>41658</v>
      </c>
      <c r="J811" t="s">
        <v>21</v>
      </c>
      <c r="K811" t="s">
        <v>28</v>
      </c>
      <c r="L811">
        <v>4.17</v>
      </c>
      <c r="M811">
        <v>4.2</v>
      </c>
      <c r="N811">
        <v>4.6900000000000004</v>
      </c>
      <c r="O811" t="s">
        <v>22</v>
      </c>
      <c r="P811" t="s">
        <v>32</v>
      </c>
      <c r="Q811" t="s">
        <v>24</v>
      </c>
    </row>
    <row r="812" spans="1:17" x14ac:dyDescent="0.35">
      <c r="A812">
        <v>811</v>
      </c>
      <c r="B812" t="s">
        <v>17</v>
      </c>
      <c r="C812">
        <v>16</v>
      </c>
      <c r="D812" t="s">
        <v>39</v>
      </c>
      <c r="E812" t="s">
        <v>19</v>
      </c>
      <c r="F812">
        <v>22</v>
      </c>
      <c r="G812">
        <v>0.62</v>
      </c>
      <c r="H812" t="s">
        <v>20</v>
      </c>
      <c r="I812">
        <v>59002</v>
      </c>
      <c r="J812" t="s">
        <v>28</v>
      </c>
      <c r="K812" t="s">
        <v>28</v>
      </c>
      <c r="L812">
        <v>4.92</v>
      </c>
      <c r="M812">
        <v>4.26</v>
      </c>
      <c r="N812">
        <v>3.71</v>
      </c>
      <c r="O812" t="s">
        <v>34</v>
      </c>
      <c r="P812" t="s">
        <v>32</v>
      </c>
      <c r="Q812" t="s">
        <v>29</v>
      </c>
    </row>
    <row r="813" spans="1:17" x14ac:dyDescent="0.35">
      <c r="A813">
        <v>812</v>
      </c>
      <c r="B813" t="s">
        <v>17</v>
      </c>
      <c r="C813">
        <v>15</v>
      </c>
      <c r="D813" t="s">
        <v>41</v>
      </c>
      <c r="E813" t="s">
        <v>35</v>
      </c>
      <c r="F813">
        <v>26</v>
      </c>
      <c r="G813">
        <v>0.78</v>
      </c>
      <c r="H813" t="s">
        <v>27</v>
      </c>
      <c r="I813">
        <v>47782</v>
      </c>
      <c r="J813" t="s">
        <v>28</v>
      </c>
      <c r="K813" t="s">
        <v>28</v>
      </c>
      <c r="L813">
        <v>4.32</v>
      </c>
      <c r="M813">
        <v>4.38</v>
      </c>
      <c r="N813">
        <v>4.66</v>
      </c>
      <c r="O813" t="s">
        <v>22</v>
      </c>
      <c r="P813" t="s">
        <v>32</v>
      </c>
      <c r="Q813" t="s">
        <v>24</v>
      </c>
    </row>
    <row r="814" spans="1:17" x14ac:dyDescent="0.35">
      <c r="A814">
        <v>813</v>
      </c>
      <c r="B814" t="s">
        <v>17</v>
      </c>
      <c r="C814">
        <v>17</v>
      </c>
      <c r="D814" t="s">
        <v>41</v>
      </c>
      <c r="E814" t="s">
        <v>19</v>
      </c>
      <c r="F814">
        <v>26</v>
      </c>
      <c r="G814">
        <v>0.62</v>
      </c>
      <c r="H814" t="s">
        <v>27</v>
      </c>
      <c r="I814">
        <v>11375</v>
      </c>
      <c r="J814" t="s">
        <v>21</v>
      </c>
      <c r="K814" t="s">
        <v>28</v>
      </c>
      <c r="L814">
        <v>4.05</v>
      </c>
      <c r="M814">
        <v>4.2699999999999996</v>
      </c>
      <c r="N814">
        <v>4.7</v>
      </c>
      <c r="O814" t="s">
        <v>22</v>
      </c>
      <c r="P814" t="s">
        <v>32</v>
      </c>
      <c r="Q814" t="s">
        <v>24</v>
      </c>
    </row>
    <row r="815" spans="1:17" x14ac:dyDescent="0.35">
      <c r="A815">
        <v>814</v>
      </c>
      <c r="B815" t="s">
        <v>25</v>
      </c>
      <c r="C815">
        <v>15</v>
      </c>
      <c r="D815" t="s">
        <v>33</v>
      </c>
      <c r="E815" t="s">
        <v>35</v>
      </c>
      <c r="F815">
        <v>15</v>
      </c>
      <c r="G815">
        <v>0.73</v>
      </c>
      <c r="H815" t="s">
        <v>27</v>
      </c>
      <c r="I815">
        <v>43949</v>
      </c>
      <c r="J815" t="s">
        <v>21</v>
      </c>
      <c r="K815" t="s">
        <v>28</v>
      </c>
      <c r="L815">
        <v>3.05</v>
      </c>
      <c r="M815">
        <v>4.24</v>
      </c>
      <c r="N815">
        <v>3.85</v>
      </c>
      <c r="O815" t="s">
        <v>34</v>
      </c>
      <c r="P815" t="s">
        <v>32</v>
      </c>
      <c r="Q815" t="s">
        <v>24</v>
      </c>
    </row>
    <row r="816" spans="1:17" x14ac:dyDescent="0.35">
      <c r="A816">
        <v>815</v>
      </c>
      <c r="B816" t="s">
        <v>25</v>
      </c>
      <c r="C816">
        <v>18</v>
      </c>
      <c r="D816" t="s">
        <v>26</v>
      </c>
      <c r="E816" t="s">
        <v>35</v>
      </c>
      <c r="F816">
        <v>7</v>
      </c>
      <c r="G816">
        <v>0.99</v>
      </c>
      <c r="H816" t="s">
        <v>31</v>
      </c>
      <c r="I816">
        <v>32092</v>
      </c>
      <c r="J816" t="s">
        <v>28</v>
      </c>
      <c r="K816" t="s">
        <v>21</v>
      </c>
      <c r="L816">
        <v>3.83</v>
      </c>
      <c r="M816">
        <v>4</v>
      </c>
      <c r="N816">
        <v>3.13</v>
      </c>
      <c r="O816" t="s">
        <v>36</v>
      </c>
      <c r="P816" t="s">
        <v>23</v>
      </c>
      <c r="Q816" t="s">
        <v>29</v>
      </c>
    </row>
    <row r="817" spans="1:17" x14ac:dyDescent="0.35">
      <c r="A817">
        <v>816</v>
      </c>
      <c r="B817" t="s">
        <v>17</v>
      </c>
      <c r="C817">
        <v>17</v>
      </c>
      <c r="D817" t="s">
        <v>33</v>
      </c>
      <c r="E817" t="s">
        <v>19</v>
      </c>
      <c r="F817">
        <v>26</v>
      </c>
      <c r="G817">
        <v>0.63</v>
      </c>
      <c r="H817" t="s">
        <v>31</v>
      </c>
      <c r="I817">
        <v>10490</v>
      </c>
      <c r="J817" t="s">
        <v>21</v>
      </c>
      <c r="K817" t="s">
        <v>28</v>
      </c>
      <c r="L817">
        <v>3.6</v>
      </c>
      <c r="M817">
        <v>3.61</v>
      </c>
      <c r="N817">
        <v>3</v>
      </c>
      <c r="O817" t="s">
        <v>36</v>
      </c>
      <c r="P817" t="s">
        <v>32</v>
      </c>
      <c r="Q817" t="s">
        <v>29</v>
      </c>
    </row>
    <row r="818" spans="1:17" x14ac:dyDescent="0.35">
      <c r="A818">
        <v>817</v>
      </c>
      <c r="B818" t="s">
        <v>17</v>
      </c>
      <c r="C818">
        <v>16</v>
      </c>
      <c r="D818" t="s">
        <v>26</v>
      </c>
      <c r="E818" t="s">
        <v>35</v>
      </c>
      <c r="F818">
        <v>14</v>
      </c>
      <c r="G818">
        <v>0.7</v>
      </c>
      <c r="H818" t="s">
        <v>40</v>
      </c>
      <c r="I818">
        <v>13729</v>
      </c>
      <c r="J818" t="s">
        <v>28</v>
      </c>
      <c r="K818" t="s">
        <v>21</v>
      </c>
      <c r="L818">
        <v>4.5</v>
      </c>
      <c r="M818">
        <v>3.63</v>
      </c>
      <c r="N818">
        <v>4.05</v>
      </c>
      <c r="O818" t="s">
        <v>34</v>
      </c>
      <c r="P818" t="s">
        <v>23</v>
      </c>
      <c r="Q818" t="s">
        <v>29</v>
      </c>
    </row>
    <row r="819" spans="1:17" x14ac:dyDescent="0.35">
      <c r="A819">
        <v>818</v>
      </c>
      <c r="B819" t="s">
        <v>17</v>
      </c>
      <c r="C819">
        <v>17</v>
      </c>
      <c r="D819" t="s">
        <v>18</v>
      </c>
      <c r="E819" t="s">
        <v>19</v>
      </c>
      <c r="F819">
        <v>14</v>
      </c>
      <c r="G819">
        <v>0.9</v>
      </c>
      <c r="H819" t="s">
        <v>27</v>
      </c>
      <c r="I819">
        <v>15974</v>
      </c>
      <c r="J819" t="s">
        <v>28</v>
      </c>
      <c r="K819" t="s">
        <v>21</v>
      </c>
      <c r="L819">
        <v>3.42</v>
      </c>
      <c r="M819">
        <v>4.1500000000000004</v>
      </c>
      <c r="N819">
        <v>3.69</v>
      </c>
      <c r="O819" t="s">
        <v>34</v>
      </c>
      <c r="P819" t="s">
        <v>23</v>
      </c>
      <c r="Q819" t="s">
        <v>24</v>
      </c>
    </row>
    <row r="820" spans="1:17" x14ac:dyDescent="0.35">
      <c r="A820">
        <v>819</v>
      </c>
      <c r="B820" t="s">
        <v>25</v>
      </c>
      <c r="C820">
        <v>16</v>
      </c>
      <c r="D820" t="s">
        <v>18</v>
      </c>
      <c r="E820" t="s">
        <v>35</v>
      </c>
      <c r="F820">
        <v>25</v>
      </c>
      <c r="G820">
        <v>0.91</v>
      </c>
      <c r="H820" t="s">
        <v>31</v>
      </c>
      <c r="I820">
        <v>29680</v>
      </c>
      <c r="J820" t="s">
        <v>21</v>
      </c>
      <c r="K820" t="s">
        <v>21</v>
      </c>
      <c r="L820">
        <v>3.41</v>
      </c>
      <c r="M820">
        <v>4.03</v>
      </c>
      <c r="N820">
        <v>4.99</v>
      </c>
      <c r="O820" t="s">
        <v>22</v>
      </c>
      <c r="P820" t="s">
        <v>32</v>
      </c>
      <c r="Q820" t="s">
        <v>24</v>
      </c>
    </row>
    <row r="821" spans="1:17" x14ac:dyDescent="0.35">
      <c r="A821">
        <v>820</v>
      </c>
      <c r="B821" t="s">
        <v>17</v>
      </c>
      <c r="C821">
        <v>17</v>
      </c>
      <c r="D821" t="s">
        <v>30</v>
      </c>
      <c r="E821" t="s">
        <v>35</v>
      </c>
      <c r="F821">
        <v>20</v>
      </c>
      <c r="G821">
        <v>0.86</v>
      </c>
      <c r="H821" t="s">
        <v>20</v>
      </c>
      <c r="I821">
        <v>28324</v>
      </c>
      <c r="J821" t="s">
        <v>28</v>
      </c>
      <c r="K821" t="s">
        <v>21</v>
      </c>
      <c r="L821">
        <v>3.38</v>
      </c>
      <c r="M821">
        <v>4.2699999999999996</v>
      </c>
      <c r="N821">
        <v>4.54</v>
      </c>
      <c r="O821" t="s">
        <v>22</v>
      </c>
      <c r="P821" t="s">
        <v>32</v>
      </c>
      <c r="Q821" t="s">
        <v>24</v>
      </c>
    </row>
    <row r="822" spans="1:17" x14ac:dyDescent="0.35">
      <c r="A822">
        <v>821</v>
      </c>
      <c r="B822" t="s">
        <v>17</v>
      </c>
      <c r="C822">
        <v>17</v>
      </c>
      <c r="D822" t="s">
        <v>26</v>
      </c>
      <c r="E822" t="s">
        <v>35</v>
      </c>
      <c r="F822">
        <v>16</v>
      </c>
      <c r="G822">
        <v>0.89</v>
      </c>
      <c r="H822" t="s">
        <v>20</v>
      </c>
      <c r="I822">
        <v>41334</v>
      </c>
      <c r="J822" t="s">
        <v>28</v>
      </c>
      <c r="K822" t="s">
        <v>21</v>
      </c>
      <c r="L822">
        <v>3.25</v>
      </c>
      <c r="M822">
        <v>3.96</v>
      </c>
      <c r="N822">
        <v>4.5199999999999996</v>
      </c>
      <c r="O822" t="s">
        <v>22</v>
      </c>
      <c r="P822" t="s">
        <v>32</v>
      </c>
      <c r="Q822" t="s">
        <v>24</v>
      </c>
    </row>
    <row r="823" spans="1:17" x14ac:dyDescent="0.35">
      <c r="A823">
        <v>822</v>
      </c>
      <c r="B823" t="s">
        <v>25</v>
      </c>
      <c r="C823">
        <v>17</v>
      </c>
      <c r="D823" t="s">
        <v>37</v>
      </c>
      <c r="E823" t="s">
        <v>19</v>
      </c>
      <c r="F823">
        <v>6</v>
      </c>
      <c r="G823">
        <v>0.61</v>
      </c>
      <c r="H823" t="s">
        <v>27</v>
      </c>
      <c r="I823">
        <v>31398</v>
      </c>
      <c r="J823" t="s">
        <v>21</v>
      </c>
      <c r="K823" t="s">
        <v>28</v>
      </c>
      <c r="L823">
        <v>3.62</v>
      </c>
      <c r="M823">
        <v>4.53</v>
      </c>
      <c r="N823">
        <v>4.91</v>
      </c>
      <c r="O823" t="s">
        <v>22</v>
      </c>
      <c r="P823" t="s">
        <v>23</v>
      </c>
      <c r="Q823" t="s">
        <v>24</v>
      </c>
    </row>
    <row r="824" spans="1:17" x14ac:dyDescent="0.35">
      <c r="A824">
        <v>823</v>
      </c>
      <c r="B824" t="s">
        <v>25</v>
      </c>
      <c r="C824">
        <v>18</v>
      </c>
      <c r="D824" t="s">
        <v>39</v>
      </c>
      <c r="E824" t="s">
        <v>19</v>
      </c>
      <c r="F824">
        <v>13</v>
      </c>
      <c r="G824">
        <v>0.68</v>
      </c>
      <c r="H824" t="s">
        <v>40</v>
      </c>
      <c r="I824">
        <v>44650</v>
      </c>
      <c r="J824" t="s">
        <v>21</v>
      </c>
      <c r="K824" t="s">
        <v>28</v>
      </c>
      <c r="L824">
        <v>4.7699999999999996</v>
      </c>
      <c r="M824">
        <v>4.8</v>
      </c>
      <c r="N824">
        <v>4.78</v>
      </c>
      <c r="O824" t="s">
        <v>22</v>
      </c>
      <c r="P824" t="s">
        <v>23</v>
      </c>
      <c r="Q824" t="s">
        <v>24</v>
      </c>
    </row>
    <row r="825" spans="1:17" x14ac:dyDescent="0.35">
      <c r="A825">
        <v>824</v>
      </c>
      <c r="B825" t="s">
        <v>17</v>
      </c>
      <c r="C825">
        <v>18</v>
      </c>
      <c r="D825" t="s">
        <v>26</v>
      </c>
      <c r="E825" t="s">
        <v>35</v>
      </c>
      <c r="F825">
        <v>28</v>
      </c>
      <c r="G825">
        <v>0.87</v>
      </c>
      <c r="H825" t="s">
        <v>40</v>
      </c>
      <c r="I825">
        <v>31292</v>
      </c>
      <c r="J825" t="s">
        <v>21</v>
      </c>
      <c r="K825" t="s">
        <v>21</v>
      </c>
      <c r="L825">
        <v>4.55</v>
      </c>
      <c r="M825">
        <v>3.95</v>
      </c>
      <c r="N825">
        <v>3.64</v>
      </c>
      <c r="O825" t="s">
        <v>34</v>
      </c>
      <c r="P825" t="s">
        <v>32</v>
      </c>
      <c r="Q825" t="s">
        <v>29</v>
      </c>
    </row>
    <row r="826" spans="1:17" x14ac:dyDescent="0.35">
      <c r="A826">
        <v>825</v>
      </c>
      <c r="B826" t="s">
        <v>25</v>
      </c>
      <c r="C826">
        <v>15</v>
      </c>
      <c r="D826" t="s">
        <v>42</v>
      </c>
      <c r="E826" t="s">
        <v>35</v>
      </c>
      <c r="F826">
        <v>7</v>
      </c>
      <c r="G826">
        <v>0.9</v>
      </c>
      <c r="H826" t="s">
        <v>20</v>
      </c>
      <c r="I826">
        <v>45755</v>
      </c>
      <c r="J826" t="s">
        <v>21</v>
      </c>
      <c r="K826" t="s">
        <v>21</v>
      </c>
      <c r="L826">
        <v>4.47</v>
      </c>
      <c r="M826">
        <v>3.79</v>
      </c>
      <c r="N826">
        <v>3.33</v>
      </c>
      <c r="O826" t="s">
        <v>36</v>
      </c>
      <c r="P826" t="s">
        <v>23</v>
      </c>
      <c r="Q826" t="s">
        <v>29</v>
      </c>
    </row>
    <row r="827" spans="1:17" x14ac:dyDescent="0.35">
      <c r="A827">
        <v>826</v>
      </c>
      <c r="B827" t="s">
        <v>25</v>
      </c>
      <c r="C827">
        <v>15</v>
      </c>
      <c r="D827" t="s">
        <v>30</v>
      </c>
      <c r="E827" t="s">
        <v>19</v>
      </c>
      <c r="F827">
        <v>28</v>
      </c>
      <c r="G827">
        <v>0.93</v>
      </c>
      <c r="H827" t="s">
        <v>40</v>
      </c>
      <c r="I827">
        <v>48353</v>
      </c>
      <c r="J827" t="s">
        <v>28</v>
      </c>
      <c r="K827" t="s">
        <v>28</v>
      </c>
      <c r="L827">
        <v>4.59</v>
      </c>
      <c r="M827">
        <v>3.67</v>
      </c>
      <c r="N827">
        <v>4.49</v>
      </c>
      <c r="O827" t="s">
        <v>34</v>
      </c>
      <c r="P827" t="s">
        <v>32</v>
      </c>
      <c r="Q827" t="s">
        <v>29</v>
      </c>
    </row>
    <row r="828" spans="1:17" x14ac:dyDescent="0.35">
      <c r="A828">
        <v>827</v>
      </c>
      <c r="B828" t="s">
        <v>17</v>
      </c>
      <c r="C828">
        <v>16</v>
      </c>
      <c r="D828" t="s">
        <v>42</v>
      </c>
      <c r="E828" t="s">
        <v>19</v>
      </c>
      <c r="F828">
        <v>29</v>
      </c>
      <c r="G828">
        <v>0.74</v>
      </c>
      <c r="H828" t="s">
        <v>27</v>
      </c>
      <c r="I828">
        <v>13159</v>
      </c>
      <c r="J828" t="s">
        <v>21</v>
      </c>
      <c r="K828" t="s">
        <v>28</v>
      </c>
      <c r="L828">
        <v>3.54</v>
      </c>
      <c r="M828">
        <v>4.42</v>
      </c>
      <c r="N828">
        <v>3.76</v>
      </c>
      <c r="O828" t="s">
        <v>34</v>
      </c>
      <c r="P828" t="s">
        <v>32</v>
      </c>
      <c r="Q828" t="s">
        <v>24</v>
      </c>
    </row>
    <row r="829" spans="1:17" x14ac:dyDescent="0.35">
      <c r="A829">
        <v>828</v>
      </c>
      <c r="B829" t="s">
        <v>25</v>
      </c>
      <c r="C829">
        <v>18</v>
      </c>
      <c r="D829" t="s">
        <v>41</v>
      </c>
      <c r="E829" t="s">
        <v>35</v>
      </c>
      <c r="F829">
        <v>19</v>
      </c>
      <c r="G829">
        <v>0.84</v>
      </c>
      <c r="H829" t="s">
        <v>20</v>
      </c>
      <c r="I829">
        <v>42626</v>
      </c>
      <c r="J829" t="s">
        <v>21</v>
      </c>
      <c r="K829" t="s">
        <v>21</v>
      </c>
      <c r="L829">
        <v>4.7699999999999996</v>
      </c>
      <c r="M829">
        <v>4.17</v>
      </c>
      <c r="N829">
        <v>3.95</v>
      </c>
      <c r="O829" t="s">
        <v>34</v>
      </c>
      <c r="P829" t="s">
        <v>32</v>
      </c>
      <c r="Q829" t="s">
        <v>29</v>
      </c>
    </row>
    <row r="830" spans="1:17" x14ac:dyDescent="0.35">
      <c r="A830">
        <v>829</v>
      </c>
      <c r="B830" t="s">
        <v>17</v>
      </c>
      <c r="C830">
        <v>16</v>
      </c>
      <c r="D830" t="s">
        <v>18</v>
      </c>
      <c r="E830" t="s">
        <v>35</v>
      </c>
      <c r="F830">
        <v>7</v>
      </c>
      <c r="G830">
        <v>0.95</v>
      </c>
      <c r="H830" t="s">
        <v>31</v>
      </c>
      <c r="I830">
        <v>39351</v>
      </c>
      <c r="J830" t="s">
        <v>21</v>
      </c>
      <c r="K830" t="s">
        <v>28</v>
      </c>
      <c r="L830">
        <v>3.27</v>
      </c>
      <c r="M830">
        <v>3.78</v>
      </c>
      <c r="N830">
        <v>4.26</v>
      </c>
      <c r="O830" t="s">
        <v>34</v>
      </c>
      <c r="P830" t="s">
        <v>23</v>
      </c>
      <c r="Q830" t="s">
        <v>24</v>
      </c>
    </row>
    <row r="831" spans="1:17" x14ac:dyDescent="0.35">
      <c r="A831">
        <v>830</v>
      </c>
      <c r="B831" t="s">
        <v>25</v>
      </c>
      <c r="C831">
        <v>15</v>
      </c>
      <c r="D831" t="s">
        <v>39</v>
      </c>
      <c r="E831" t="s">
        <v>19</v>
      </c>
      <c r="F831">
        <v>23</v>
      </c>
      <c r="G831">
        <v>0.67</v>
      </c>
      <c r="H831" t="s">
        <v>31</v>
      </c>
      <c r="I831">
        <v>47298</v>
      </c>
      <c r="J831" t="s">
        <v>21</v>
      </c>
      <c r="K831" t="s">
        <v>28</v>
      </c>
      <c r="L831">
        <v>3.67</v>
      </c>
      <c r="M831">
        <v>4.4800000000000004</v>
      </c>
      <c r="N831">
        <v>4.82</v>
      </c>
      <c r="O831" t="s">
        <v>22</v>
      </c>
      <c r="P831" t="s">
        <v>32</v>
      </c>
      <c r="Q831" t="s">
        <v>24</v>
      </c>
    </row>
    <row r="832" spans="1:17" x14ac:dyDescent="0.35">
      <c r="A832">
        <v>831</v>
      </c>
      <c r="B832" t="s">
        <v>17</v>
      </c>
      <c r="C832">
        <v>16</v>
      </c>
      <c r="D832" t="s">
        <v>26</v>
      </c>
      <c r="E832" t="s">
        <v>19</v>
      </c>
      <c r="F832">
        <v>22</v>
      </c>
      <c r="G832">
        <v>0.68</v>
      </c>
      <c r="H832" t="s">
        <v>40</v>
      </c>
      <c r="I832">
        <v>27065</v>
      </c>
      <c r="J832" t="s">
        <v>21</v>
      </c>
      <c r="K832" t="s">
        <v>28</v>
      </c>
      <c r="L832">
        <v>4.17</v>
      </c>
      <c r="M832">
        <v>3.72</v>
      </c>
      <c r="N832">
        <v>3.84</v>
      </c>
      <c r="O832" t="s">
        <v>34</v>
      </c>
      <c r="P832" t="s">
        <v>32</v>
      </c>
      <c r="Q832" t="s">
        <v>29</v>
      </c>
    </row>
    <row r="833" spans="1:17" x14ac:dyDescent="0.35">
      <c r="A833">
        <v>832</v>
      </c>
      <c r="B833" t="s">
        <v>17</v>
      </c>
      <c r="C833">
        <v>15</v>
      </c>
      <c r="D833" t="s">
        <v>42</v>
      </c>
      <c r="E833" t="s">
        <v>19</v>
      </c>
      <c r="F833">
        <v>12</v>
      </c>
      <c r="G833">
        <v>0.96</v>
      </c>
      <c r="H833" t="s">
        <v>20</v>
      </c>
      <c r="I833">
        <v>31638</v>
      </c>
      <c r="J833" t="s">
        <v>28</v>
      </c>
      <c r="K833" t="s">
        <v>21</v>
      </c>
      <c r="L833">
        <v>3.21</v>
      </c>
      <c r="M833">
        <v>4.33</v>
      </c>
      <c r="N833">
        <v>4.57</v>
      </c>
      <c r="O833" t="s">
        <v>22</v>
      </c>
      <c r="P833" t="s">
        <v>23</v>
      </c>
      <c r="Q833" t="s">
        <v>24</v>
      </c>
    </row>
    <row r="834" spans="1:17" x14ac:dyDescent="0.35">
      <c r="A834">
        <v>833</v>
      </c>
      <c r="B834" t="s">
        <v>17</v>
      </c>
      <c r="C834">
        <v>18</v>
      </c>
      <c r="D834" t="s">
        <v>39</v>
      </c>
      <c r="E834" t="s">
        <v>19</v>
      </c>
      <c r="F834">
        <v>21</v>
      </c>
      <c r="G834">
        <v>0.98</v>
      </c>
      <c r="H834" t="s">
        <v>20</v>
      </c>
      <c r="I834">
        <v>11073</v>
      </c>
      <c r="J834" t="s">
        <v>21</v>
      </c>
      <c r="K834" t="s">
        <v>28</v>
      </c>
      <c r="L834">
        <v>4.46</v>
      </c>
      <c r="M834">
        <v>4.29</v>
      </c>
      <c r="N834">
        <v>3.54</v>
      </c>
      <c r="O834" t="s">
        <v>34</v>
      </c>
      <c r="P834" t="s">
        <v>32</v>
      </c>
      <c r="Q834" t="s">
        <v>29</v>
      </c>
    </row>
    <row r="835" spans="1:17" x14ac:dyDescent="0.35">
      <c r="A835">
        <v>834</v>
      </c>
      <c r="B835" t="s">
        <v>25</v>
      </c>
      <c r="C835">
        <v>17</v>
      </c>
      <c r="D835" t="s">
        <v>41</v>
      </c>
      <c r="E835" t="s">
        <v>19</v>
      </c>
      <c r="F835">
        <v>12</v>
      </c>
      <c r="G835">
        <v>0.91</v>
      </c>
      <c r="H835" t="s">
        <v>31</v>
      </c>
      <c r="I835">
        <v>56511</v>
      </c>
      <c r="J835" t="s">
        <v>28</v>
      </c>
      <c r="K835" t="s">
        <v>21</v>
      </c>
      <c r="L835">
        <v>3.77</v>
      </c>
      <c r="M835">
        <v>4.5999999999999996</v>
      </c>
      <c r="N835">
        <v>4.4000000000000004</v>
      </c>
      <c r="O835" t="s">
        <v>34</v>
      </c>
      <c r="P835" t="s">
        <v>23</v>
      </c>
      <c r="Q835" t="s">
        <v>24</v>
      </c>
    </row>
    <row r="836" spans="1:17" x14ac:dyDescent="0.35">
      <c r="A836">
        <v>835</v>
      </c>
      <c r="B836" t="s">
        <v>17</v>
      </c>
      <c r="C836">
        <v>18</v>
      </c>
      <c r="D836" t="s">
        <v>18</v>
      </c>
      <c r="E836" t="s">
        <v>35</v>
      </c>
      <c r="F836">
        <v>11</v>
      </c>
      <c r="G836">
        <v>0.76</v>
      </c>
      <c r="H836" t="s">
        <v>20</v>
      </c>
      <c r="I836">
        <v>28771</v>
      </c>
      <c r="J836" t="s">
        <v>21</v>
      </c>
      <c r="K836" t="s">
        <v>21</v>
      </c>
      <c r="L836">
        <v>4.57</v>
      </c>
      <c r="M836">
        <v>3.58</v>
      </c>
      <c r="N836">
        <v>3</v>
      </c>
      <c r="O836" t="s">
        <v>36</v>
      </c>
      <c r="P836" t="s">
        <v>23</v>
      </c>
      <c r="Q836" t="s">
        <v>29</v>
      </c>
    </row>
    <row r="837" spans="1:17" x14ac:dyDescent="0.35">
      <c r="A837">
        <v>836</v>
      </c>
      <c r="B837" t="s">
        <v>25</v>
      </c>
      <c r="C837">
        <v>16</v>
      </c>
      <c r="D837" t="s">
        <v>37</v>
      </c>
      <c r="E837" t="s">
        <v>19</v>
      </c>
      <c r="F837">
        <v>11</v>
      </c>
      <c r="G837">
        <v>0.94</v>
      </c>
      <c r="H837" t="s">
        <v>20</v>
      </c>
      <c r="I837">
        <v>45461</v>
      </c>
      <c r="J837" t="s">
        <v>21</v>
      </c>
      <c r="K837" t="s">
        <v>21</v>
      </c>
      <c r="L837">
        <v>3.99</v>
      </c>
      <c r="M837">
        <v>4.83</v>
      </c>
      <c r="N837">
        <v>4.74</v>
      </c>
      <c r="O837" t="s">
        <v>22</v>
      </c>
      <c r="P837" t="s">
        <v>23</v>
      </c>
      <c r="Q837" t="s">
        <v>24</v>
      </c>
    </row>
    <row r="838" spans="1:17" x14ac:dyDescent="0.35">
      <c r="A838">
        <v>837</v>
      </c>
      <c r="B838" t="s">
        <v>17</v>
      </c>
      <c r="C838">
        <v>16</v>
      </c>
      <c r="D838" t="s">
        <v>30</v>
      </c>
      <c r="E838" t="s">
        <v>35</v>
      </c>
      <c r="F838">
        <v>7</v>
      </c>
      <c r="G838">
        <v>0.96</v>
      </c>
      <c r="H838" t="s">
        <v>20</v>
      </c>
      <c r="I838">
        <v>52330</v>
      </c>
      <c r="J838" t="s">
        <v>21</v>
      </c>
      <c r="K838" t="s">
        <v>21</v>
      </c>
      <c r="L838">
        <v>3.36</v>
      </c>
      <c r="M838">
        <v>4.55</v>
      </c>
      <c r="N838">
        <v>3.06</v>
      </c>
      <c r="O838" t="s">
        <v>36</v>
      </c>
      <c r="P838" t="s">
        <v>23</v>
      </c>
      <c r="Q838" t="s">
        <v>29</v>
      </c>
    </row>
    <row r="839" spans="1:17" x14ac:dyDescent="0.35">
      <c r="A839">
        <v>838</v>
      </c>
      <c r="B839" t="s">
        <v>17</v>
      </c>
      <c r="C839">
        <v>18</v>
      </c>
      <c r="D839" t="s">
        <v>39</v>
      </c>
      <c r="E839" t="s">
        <v>19</v>
      </c>
      <c r="F839">
        <v>5</v>
      </c>
      <c r="G839">
        <v>0.78</v>
      </c>
      <c r="H839" t="s">
        <v>40</v>
      </c>
      <c r="I839">
        <v>39320</v>
      </c>
      <c r="J839" t="s">
        <v>21</v>
      </c>
      <c r="K839" t="s">
        <v>21</v>
      </c>
      <c r="L839">
        <v>4.47</v>
      </c>
      <c r="M839">
        <v>3.82</v>
      </c>
      <c r="N839">
        <v>4.43</v>
      </c>
      <c r="O839" t="s">
        <v>34</v>
      </c>
      <c r="P839" t="s">
        <v>23</v>
      </c>
      <c r="Q839" t="s">
        <v>29</v>
      </c>
    </row>
    <row r="840" spans="1:17" x14ac:dyDescent="0.35">
      <c r="A840">
        <v>839</v>
      </c>
      <c r="B840" t="s">
        <v>25</v>
      </c>
      <c r="C840">
        <v>18</v>
      </c>
      <c r="D840" t="s">
        <v>39</v>
      </c>
      <c r="E840" t="s">
        <v>35</v>
      </c>
      <c r="F840">
        <v>8</v>
      </c>
      <c r="G840">
        <v>0.88</v>
      </c>
      <c r="H840" t="s">
        <v>20</v>
      </c>
      <c r="I840">
        <v>14340</v>
      </c>
      <c r="J840" t="s">
        <v>21</v>
      </c>
      <c r="K840" t="s">
        <v>28</v>
      </c>
      <c r="L840">
        <v>3.5</v>
      </c>
      <c r="M840">
        <v>3.78</v>
      </c>
      <c r="N840">
        <v>3.09</v>
      </c>
      <c r="O840" t="s">
        <v>36</v>
      </c>
      <c r="P840" t="s">
        <v>23</v>
      </c>
      <c r="Q840" t="s">
        <v>29</v>
      </c>
    </row>
    <row r="841" spans="1:17" x14ac:dyDescent="0.35">
      <c r="A841">
        <v>840</v>
      </c>
      <c r="B841" t="s">
        <v>17</v>
      </c>
      <c r="C841">
        <v>15</v>
      </c>
      <c r="D841" t="s">
        <v>37</v>
      </c>
      <c r="E841" t="s">
        <v>19</v>
      </c>
      <c r="F841">
        <v>29</v>
      </c>
      <c r="G841">
        <v>0.66</v>
      </c>
      <c r="H841" t="s">
        <v>27</v>
      </c>
      <c r="I841">
        <v>44924</v>
      </c>
      <c r="J841" t="s">
        <v>21</v>
      </c>
      <c r="K841" t="s">
        <v>21</v>
      </c>
      <c r="L841">
        <v>3.98</v>
      </c>
      <c r="M841">
        <v>4.1500000000000004</v>
      </c>
      <c r="N841">
        <v>3.53</v>
      </c>
      <c r="O841" t="s">
        <v>34</v>
      </c>
      <c r="P841" t="s">
        <v>32</v>
      </c>
      <c r="Q841" t="s">
        <v>29</v>
      </c>
    </row>
    <row r="842" spans="1:17" x14ac:dyDescent="0.35">
      <c r="A842">
        <v>841</v>
      </c>
      <c r="B842" t="s">
        <v>17</v>
      </c>
      <c r="C842">
        <v>16</v>
      </c>
      <c r="D842" t="s">
        <v>39</v>
      </c>
      <c r="E842" t="s">
        <v>19</v>
      </c>
      <c r="F842">
        <v>9</v>
      </c>
      <c r="G842">
        <v>0.87</v>
      </c>
      <c r="H842" t="s">
        <v>40</v>
      </c>
      <c r="I842">
        <v>26184</v>
      </c>
      <c r="J842" t="s">
        <v>21</v>
      </c>
      <c r="K842" t="s">
        <v>21</v>
      </c>
      <c r="L842">
        <v>3.15</v>
      </c>
      <c r="M842">
        <v>4.7300000000000004</v>
      </c>
      <c r="N842">
        <v>3.99</v>
      </c>
      <c r="O842" t="s">
        <v>34</v>
      </c>
      <c r="P842" t="s">
        <v>23</v>
      </c>
      <c r="Q842" t="s">
        <v>24</v>
      </c>
    </row>
    <row r="843" spans="1:17" x14ac:dyDescent="0.35">
      <c r="A843">
        <v>842</v>
      </c>
      <c r="B843" t="s">
        <v>25</v>
      </c>
      <c r="C843">
        <v>16</v>
      </c>
      <c r="D843" t="s">
        <v>41</v>
      </c>
      <c r="E843" t="s">
        <v>35</v>
      </c>
      <c r="F843">
        <v>5</v>
      </c>
      <c r="G843">
        <v>0.68</v>
      </c>
      <c r="H843" t="s">
        <v>20</v>
      </c>
      <c r="I843">
        <v>50734</v>
      </c>
      <c r="J843" t="s">
        <v>21</v>
      </c>
      <c r="K843" t="s">
        <v>21</v>
      </c>
      <c r="L843">
        <v>4.24</v>
      </c>
      <c r="M843">
        <v>4.76</v>
      </c>
      <c r="N843">
        <v>3.84</v>
      </c>
      <c r="O843" t="s">
        <v>34</v>
      </c>
      <c r="P843" t="s">
        <v>23</v>
      </c>
      <c r="Q843" t="s">
        <v>29</v>
      </c>
    </row>
    <row r="844" spans="1:17" x14ac:dyDescent="0.35">
      <c r="A844">
        <v>843</v>
      </c>
      <c r="B844" t="s">
        <v>17</v>
      </c>
      <c r="C844">
        <v>18</v>
      </c>
      <c r="D844" t="s">
        <v>41</v>
      </c>
      <c r="E844" t="s">
        <v>35</v>
      </c>
      <c r="F844">
        <v>19</v>
      </c>
      <c r="G844">
        <v>0.87</v>
      </c>
      <c r="H844" t="s">
        <v>20</v>
      </c>
      <c r="I844">
        <v>12580</v>
      </c>
      <c r="J844" t="s">
        <v>28</v>
      </c>
      <c r="K844" t="s">
        <v>28</v>
      </c>
      <c r="L844">
        <v>4.33</v>
      </c>
      <c r="M844">
        <v>4.28</v>
      </c>
      <c r="N844">
        <v>3.38</v>
      </c>
      <c r="O844" t="s">
        <v>36</v>
      </c>
      <c r="P844" t="s">
        <v>32</v>
      </c>
      <c r="Q844" t="s">
        <v>29</v>
      </c>
    </row>
    <row r="845" spans="1:17" x14ac:dyDescent="0.35">
      <c r="A845">
        <v>844</v>
      </c>
      <c r="B845" t="s">
        <v>17</v>
      </c>
      <c r="C845">
        <v>17</v>
      </c>
      <c r="D845" t="s">
        <v>37</v>
      </c>
      <c r="E845" t="s">
        <v>19</v>
      </c>
      <c r="F845">
        <v>9</v>
      </c>
      <c r="G845">
        <v>0.65</v>
      </c>
      <c r="H845" t="s">
        <v>27</v>
      </c>
      <c r="I845">
        <v>50025</v>
      </c>
      <c r="J845" t="s">
        <v>21</v>
      </c>
      <c r="K845" t="s">
        <v>28</v>
      </c>
      <c r="L845">
        <v>3.76</v>
      </c>
      <c r="M845">
        <v>4.79</v>
      </c>
      <c r="N845">
        <v>3.67</v>
      </c>
      <c r="O845" t="s">
        <v>34</v>
      </c>
      <c r="P845" t="s">
        <v>23</v>
      </c>
      <c r="Q845" t="s">
        <v>29</v>
      </c>
    </row>
    <row r="846" spans="1:17" x14ac:dyDescent="0.35">
      <c r="A846">
        <v>845</v>
      </c>
      <c r="B846" t="s">
        <v>17</v>
      </c>
      <c r="C846">
        <v>16</v>
      </c>
      <c r="D846" t="s">
        <v>30</v>
      </c>
      <c r="E846" t="s">
        <v>19</v>
      </c>
      <c r="F846">
        <v>17</v>
      </c>
      <c r="G846">
        <v>0.88</v>
      </c>
      <c r="H846" t="s">
        <v>40</v>
      </c>
      <c r="I846">
        <v>38967</v>
      </c>
      <c r="J846" t="s">
        <v>28</v>
      </c>
      <c r="K846" t="s">
        <v>28</v>
      </c>
      <c r="L846">
        <v>4.91</v>
      </c>
      <c r="M846">
        <v>3.51</v>
      </c>
      <c r="N846">
        <v>4.46</v>
      </c>
      <c r="O846" t="s">
        <v>34</v>
      </c>
      <c r="P846" t="s">
        <v>32</v>
      </c>
      <c r="Q846" t="s">
        <v>29</v>
      </c>
    </row>
    <row r="847" spans="1:17" x14ac:dyDescent="0.35">
      <c r="A847">
        <v>846</v>
      </c>
      <c r="B847" t="s">
        <v>17</v>
      </c>
      <c r="C847">
        <v>17</v>
      </c>
      <c r="D847" t="s">
        <v>26</v>
      </c>
      <c r="E847" t="s">
        <v>19</v>
      </c>
      <c r="F847">
        <v>12</v>
      </c>
      <c r="G847">
        <v>0.76</v>
      </c>
      <c r="H847" t="s">
        <v>31</v>
      </c>
      <c r="I847">
        <v>12159</v>
      </c>
      <c r="J847" t="s">
        <v>21</v>
      </c>
      <c r="K847" t="s">
        <v>28</v>
      </c>
      <c r="L847">
        <v>4.75</v>
      </c>
      <c r="M847">
        <v>3.55</v>
      </c>
      <c r="N847">
        <v>4.34</v>
      </c>
      <c r="O847" t="s">
        <v>34</v>
      </c>
      <c r="P847" t="s">
        <v>23</v>
      </c>
      <c r="Q847" t="s">
        <v>29</v>
      </c>
    </row>
    <row r="848" spans="1:17" x14ac:dyDescent="0.35">
      <c r="A848">
        <v>847</v>
      </c>
      <c r="B848" t="s">
        <v>25</v>
      </c>
      <c r="C848">
        <v>18</v>
      </c>
      <c r="D848" t="s">
        <v>42</v>
      </c>
      <c r="E848" t="s">
        <v>19</v>
      </c>
      <c r="F848">
        <v>12</v>
      </c>
      <c r="G848">
        <v>0.75</v>
      </c>
      <c r="H848" t="s">
        <v>31</v>
      </c>
      <c r="I848">
        <v>58940</v>
      </c>
      <c r="J848" t="s">
        <v>28</v>
      </c>
      <c r="K848" t="s">
        <v>28</v>
      </c>
      <c r="L848">
        <v>4.42</v>
      </c>
      <c r="M848">
        <v>4.87</v>
      </c>
      <c r="N848">
        <v>3.14</v>
      </c>
      <c r="O848" t="s">
        <v>36</v>
      </c>
      <c r="P848" t="s">
        <v>23</v>
      </c>
      <c r="Q848" t="s">
        <v>29</v>
      </c>
    </row>
    <row r="849" spans="1:17" x14ac:dyDescent="0.35">
      <c r="A849">
        <v>848</v>
      </c>
      <c r="B849" t="s">
        <v>25</v>
      </c>
      <c r="C849">
        <v>18</v>
      </c>
      <c r="D849" t="s">
        <v>26</v>
      </c>
      <c r="E849" t="s">
        <v>19</v>
      </c>
      <c r="F849">
        <v>9</v>
      </c>
      <c r="G849">
        <v>0.82</v>
      </c>
      <c r="H849" t="s">
        <v>40</v>
      </c>
      <c r="I849">
        <v>23900</v>
      </c>
      <c r="J849" t="s">
        <v>21</v>
      </c>
      <c r="K849" t="s">
        <v>28</v>
      </c>
      <c r="L849">
        <v>4.43</v>
      </c>
      <c r="M849">
        <v>4.66</v>
      </c>
      <c r="N849">
        <v>4.49</v>
      </c>
      <c r="O849" t="s">
        <v>34</v>
      </c>
      <c r="P849" t="s">
        <v>23</v>
      </c>
      <c r="Q849" t="s">
        <v>24</v>
      </c>
    </row>
    <row r="850" spans="1:17" x14ac:dyDescent="0.35">
      <c r="A850">
        <v>849</v>
      </c>
      <c r="B850" t="s">
        <v>17</v>
      </c>
      <c r="C850">
        <v>15</v>
      </c>
      <c r="D850" t="s">
        <v>39</v>
      </c>
      <c r="E850" t="s">
        <v>35</v>
      </c>
      <c r="F850">
        <v>13</v>
      </c>
      <c r="G850">
        <v>0.9</v>
      </c>
      <c r="H850" t="s">
        <v>20</v>
      </c>
      <c r="I850">
        <v>21440</v>
      </c>
      <c r="J850" t="s">
        <v>21</v>
      </c>
      <c r="K850" t="s">
        <v>28</v>
      </c>
      <c r="L850">
        <v>3.5</v>
      </c>
      <c r="M850">
        <v>4.18</v>
      </c>
      <c r="N850">
        <v>3.11</v>
      </c>
      <c r="O850" t="s">
        <v>36</v>
      </c>
      <c r="P850" t="s">
        <v>23</v>
      </c>
      <c r="Q850" t="s">
        <v>29</v>
      </c>
    </row>
    <row r="851" spans="1:17" x14ac:dyDescent="0.35">
      <c r="A851">
        <v>850</v>
      </c>
      <c r="B851" t="s">
        <v>25</v>
      </c>
      <c r="C851">
        <v>16</v>
      </c>
      <c r="D851" t="s">
        <v>42</v>
      </c>
      <c r="E851" t="s">
        <v>35</v>
      </c>
      <c r="F851">
        <v>5</v>
      </c>
      <c r="G851">
        <v>0.62</v>
      </c>
      <c r="H851" t="s">
        <v>20</v>
      </c>
      <c r="I851">
        <v>24678</v>
      </c>
      <c r="J851" t="s">
        <v>21</v>
      </c>
      <c r="K851" t="s">
        <v>21</v>
      </c>
      <c r="L851">
        <v>4.3099999999999996</v>
      </c>
      <c r="M851">
        <v>4.63</v>
      </c>
      <c r="N851">
        <v>4.09</v>
      </c>
      <c r="O851" t="s">
        <v>34</v>
      </c>
      <c r="P851" t="s">
        <v>23</v>
      </c>
      <c r="Q851" t="s">
        <v>29</v>
      </c>
    </row>
    <row r="852" spans="1:17" x14ac:dyDescent="0.35">
      <c r="A852">
        <v>851</v>
      </c>
      <c r="B852" t="s">
        <v>17</v>
      </c>
      <c r="C852">
        <v>17</v>
      </c>
      <c r="D852" t="s">
        <v>33</v>
      </c>
      <c r="E852" t="s">
        <v>19</v>
      </c>
      <c r="F852">
        <v>8</v>
      </c>
      <c r="G852">
        <v>0.8</v>
      </c>
      <c r="H852" t="s">
        <v>31</v>
      </c>
      <c r="I852">
        <v>57204</v>
      </c>
      <c r="J852" t="s">
        <v>28</v>
      </c>
      <c r="K852" t="s">
        <v>21</v>
      </c>
      <c r="L852">
        <v>3.4</v>
      </c>
      <c r="M852">
        <v>4.93</v>
      </c>
      <c r="N852">
        <v>3.52</v>
      </c>
      <c r="O852" t="s">
        <v>34</v>
      </c>
      <c r="P852" t="s">
        <v>23</v>
      </c>
      <c r="Q852" t="s">
        <v>24</v>
      </c>
    </row>
    <row r="853" spans="1:17" x14ac:dyDescent="0.35">
      <c r="A853">
        <v>852</v>
      </c>
      <c r="B853" t="s">
        <v>25</v>
      </c>
      <c r="C853">
        <v>15</v>
      </c>
      <c r="D853" t="s">
        <v>37</v>
      </c>
      <c r="E853" t="s">
        <v>35</v>
      </c>
      <c r="F853">
        <v>7</v>
      </c>
      <c r="G853">
        <v>0.85</v>
      </c>
      <c r="H853" t="s">
        <v>31</v>
      </c>
      <c r="I853">
        <v>22021</v>
      </c>
      <c r="J853" t="s">
        <v>28</v>
      </c>
      <c r="K853" t="s">
        <v>28</v>
      </c>
      <c r="L853">
        <v>3.29</v>
      </c>
      <c r="M853">
        <v>4.66</v>
      </c>
      <c r="N853">
        <v>4.18</v>
      </c>
      <c r="O853" t="s">
        <v>34</v>
      </c>
      <c r="P853" t="s">
        <v>23</v>
      </c>
      <c r="Q853" t="s">
        <v>24</v>
      </c>
    </row>
    <row r="854" spans="1:17" x14ac:dyDescent="0.35">
      <c r="A854">
        <v>853</v>
      </c>
      <c r="B854" t="s">
        <v>17</v>
      </c>
      <c r="C854">
        <v>16</v>
      </c>
      <c r="D854" t="s">
        <v>37</v>
      </c>
      <c r="E854" t="s">
        <v>35</v>
      </c>
      <c r="F854">
        <v>6</v>
      </c>
      <c r="G854">
        <v>0.95</v>
      </c>
      <c r="H854" t="s">
        <v>31</v>
      </c>
      <c r="I854">
        <v>16772</v>
      </c>
      <c r="J854" t="s">
        <v>28</v>
      </c>
      <c r="K854" t="s">
        <v>21</v>
      </c>
      <c r="L854">
        <v>5</v>
      </c>
      <c r="M854">
        <v>4.76</v>
      </c>
      <c r="N854">
        <v>3.52</v>
      </c>
      <c r="O854" t="s">
        <v>34</v>
      </c>
      <c r="P854" t="s">
        <v>23</v>
      </c>
      <c r="Q854" t="s">
        <v>29</v>
      </c>
    </row>
    <row r="855" spans="1:17" x14ac:dyDescent="0.35">
      <c r="A855">
        <v>854</v>
      </c>
      <c r="B855" t="s">
        <v>17</v>
      </c>
      <c r="C855">
        <v>15</v>
      </c>
      <c r="D855" t="s">
        <v>30</v>
      </c>
      <c r="E855" t="s">
        <v>35</v>
      </c>
      <c r="F855">
        <v>12</v>
      </c>
      <c r="G855">
        <v>0.96</v>
      </c>
      <c r="H855" t="s">
        <v>27</v>
      </c>
      <c r="I855">
        <v>11627</v>
      </c>
      <c r="J855" t="s">
        <v>28</v>
      </c>
      <c r="K855" t="s">
        <v>21</v>
      </c>
      <c r="L855">
        <v>4.24</v>
      </c>
      <c r="M855">
        <v>4.6399999999999997</v>
      </c>
      <c r="N855">
        <v>4.97</v>
      </c>
      <c r="O855" t="s">
        <v>22</v>
      </c>
      <c r="P855" t="s">
        <v>23</v>
      </c>
      <c r="Q855" t="s">
        <v>24</v>
      </c>
    </row>
    <row r="856" spans="1:17" x14ac:dyDescent="0.35">
      <c r="A856">
        <v>855</v>
      </c>
      <c r="B856" t="s">
        <v>17</v>
      </c>
      <c r="C856">
        <v>18</v>
      </c>
      <c r="D856" t="s">
        <v>42</v>
      </c>
      <c r="E856" t="s">
        <v>19</v>
      </c>
      <c r="F856">
        <v>27</v>
      </c>
      <c r="G856">
        <v>0.81</v>
      </c>
      <c r="H856" t="s">
        <v>31</v>
      </c>
      <c r="I856">
        <v>54432</v>
      </c>
      <c r="J856" t="s">
        <v>21</v>
      </c>
      <c r="K856" t="s">
        <v>28</v>
      </c>
      <c r="L856">
        <v>3.86</v>
      </c>
      <c r="M856">
        <v>3.75</v>
      </c>
      <c r="N856">
        <v>3.62</v>
      </c>
      <c r="O856" t="s">
        <v>34</v>
      </c>
      <c r="P856" t="s">
        <v>32</v>
      </c>
      <c r="Q856" t="s">
        <v>29</v>
      </c>
    </row>
    <row r="857" spans="1:17" x14ac:dyDescent="0.35">
      <c r="A857">
        <v>856</v>
      </c>
      <c r="B857" t="s">
        <v>17</v>
      </c>
      <c r="C857">
        <v>16</v>
      </c>
      <c r="D857" t="s">
        <v>41</v>
      </c>
      <c r="E857" t="s">
        <v>35</v>
      </c>
      <c r="F857">
        <v>13</v>
      </c>
      <c r="G857">
        <v>0.71</v>
      </c>
      <c r="H857" t="s">
        <v>27</v>
      </c>
      <c r="I857">
        <v>18219</v>
      </c>
      <c r="J857" t="s">
        <v>21</v>
      </c>
      <c r="K857" t="s">
        <v>21</v>
      </c>
      <c r="L857">
        <v>3.58</v>
      </c>
      <c r="M857">
        <v>4.75</v>
      </c>
      <c r="N857">
        <v>3.48</v>
      </c>
      <c r="O857" t="s">
        <v>36</v>
      </c>
      <c r="P857" t="s">
        <v>23</v>
      </c>
      <c r="Q857" t="s">
        <v>29</v>
      </c>
    </row>
    <row r="858" spans="1:17" x14ac:dyDescent="0.35">
      <c r="A858">
        <v>857</v>
      </c>
      <c r="B858" t="s">
        <v>17</v>
      </c>
      <c r="C858">
        <v>15</v>
      </c>
      <c r="D858" t="s">
        <v>42</v>
      </c>
      <c r="E858" t="s">
        <v>19</v>
      </c>
      <c r="F858">
        <v>6</v>
      </c>
      <c r="G858">
        <v>0.72</v>
      </c>
      <c r="H858" t="s">
        <v>40</v>
      </c>
      <c r="I858">
        <v>33464</v>
      </c>
      <c r="J858" t="s">
        <v>21</v>
      </c>
      <c r="K858" t="s">
        <v>21</v>
      </c>
      <c r="L858">
        <v>4.21</v>
      </c>
      <c r="M858">
        <v>3.79</v>
      </c>
      <c r="N858">
        <v>3.56</v>
      </c>
      <c r="O858" t="s">
        <v>34</v>
      </c>
      <c r="P858" t="s">
        <v>23</v>
      </c>
      <c r="Q858" t="s">
        <v>29</v>
      </c>
    </row>
    <row r="859" spans="1:17" x14ac:dyDescent="0.35">
      <c r="A859">
        <v>858</v>
      </c>
      <c r="B859" t="s">
        <v>17</v>
      </c>
      <c r="C859">
        <v>15</v>
      </c>
      <c r="D859" t="s">
        <v>39</v>
      </c>
      <c r="E859" t="s">
        <v>35</v>
      </c>
      <c r="F859">
        <v>18</v>
      </c>
      <c r="G859">
        <v>0.7</v>
      </c>
      <c r="H859" t="s">
        <v>20</v>
      </c>
      <c r="I859">
        <v>40232</v>
      </c>
      <c r="J859" t="s">
        <v>28</v>
      </c>
      <c r="K859" t="s">
        <v>28</v>
      </c>
      <c r="L859">
        <v>3.1</v>
      </c>
      <c r="M859">
        <v>4.84</v>
      </c>
      <c r="N859">
        <v>4.79</v>
      </c>
      <c r="O859" t="s">
        <v>22</v>
      </c>
      <c r="P859" t="s">
        <v>32</v>
      </c>
      <c r="Q859" t="s">
        <v>24</v>
      </c>
    </row>
    <row r="860" spans="1:17" x14ac:dyDescent="0.35">
      <c r="A860">
        <v>859</v>
      </c>
      <c r="B860" t="s">
        <v>25</v>
      </c>
      <c r="C860">
        <v>17</v>
      </c>
      <c r="D860" t="s">
        <v>41</v>
      </c>
      <c r="E860" t="s">
        <v>19</v>
      </c>
      <c r="F860">
        <v>18</v>
      </c>
      <c r="G860">
        <v>0.75</v>
      </c>
      <c r="H860" t="s">
        <v>31</v>
      </c>
      <c r="I860">
        <v>52481</v>
      </c>
      <c r="J860" t="s">
        <v>21</v>
      </c>
      <c r="K860" t="s">
        <v>21</v>
      </c>
      <c r="L860">
        <v>3.19</v>
      </c>
      <c r="M860">
        <v>4.1900000000000004</v>
      </c>
      <c r="N860">
        <v>4.2699999999999996</v>
      </c>
      <c r="O860" t="s">
        <v>34</v>
      </c>
      <c r="P860" t="s">
        <v>32</v>
      </c>
      <c r="Q860" t="s">
        <v>24</v>
      </c>
    </row>
    <row r="861" spans="1:17" x14ac:dyDescent="0.35">
      <c r="A861">
        <v>860</v>
      </c>
      <c r="B861" t="s">
        <v>17</v>
      </c>
      <c r="C861">
        <v>15</v>
      </c>
      <c r="D861" t="s">
        <v>18</v>
      </c>
      <c r="E861" t="s">
        <v>35</v>
      </c>
      <c r="F861">
        <v>8</v>
      </c>
      <c r="G861">
        <v>0.67</v>
      </c>
      <c r="H861" t="s">
        <v>20</v>
      </c>
      <c r="I861">
        <v>18488</v>
      </c>
      <c r="J861" t="s">
        <v>28</v>
      </c>
      <c r="K861" t="s">
        <v>28</v>
      </c>
      <c r="L861">
        <v>3.07</v>
      </c>
      <c r="M861">
        <v>4.5199999999999996</v>
      </c>
      <c r="N861">
        <v>4.46</v>
      </c>
      <c r="O861" t="s">
        <v>34</v>
      </c>
      <c r="P861" t="s">
        <v>23</v>
      </c>
      <c r="Q861" t="s">
        <v>24</v>
      </c>
    </row>
    <row r="862" spans="1:17" x14ac:dyDescent="0.35">
      <c r="A862">
        <v>861</v>
      </c>
      <c r="B862" t="s">
        <v>25</v>
      </c>
      <c r="C862">
        <v>16</v>
      </c>
      <c r="D862" t="s">
        <v>18</v>
      </c>
      <c r="E862" t="s">
        <v>19</v>
      </c>
      <c r="F862">
        <v>10</v>
      </c>
      <c r="G862">
        <v>0.99</v>
      </c>
      <c r="H862" t="s">
        <v>20</v>
      </c>
      <c r="I862">
        <v>44949</v>
      </c>
      <c r="J862" t="s">
        <v>28</v>
      </c>
      <c r="K862" t="s">
        <v>28</v>
      </c>
      <c r="L862">
        <v>4</v>
      </c>
      <c r="M862">
        <v>4.25</v>
      </c>
      <c r="N862">
        <v>4.84</v>
      </c>
      <c r="O862" t="s">
        <v>22</v>
      </c>
      <c r="P862" t="s">
        <v>23</v>
      </c>
      <c r="Q862" t="s">
        <v>24</v>
      </c>
    </row>
    <row r="863" spans="1:17" x14ac:dyDescent="0.35">
      <c r="A863">
        <v>862</v>
      </c>
      <c r="B863" t="s">
        <v>17</v>
      </c>
      <c r="C863">
        <v>16</v>
      </c>
      <c r="D863" t="s">
        <v>33</v>
      </c>
      <c r="E863" t="s">
        <v>19</v>
      </c>
      <c r="F863">
        <v>15</v>
      </c>
      <c r="G863">
        <v>0.99</v>
      </c>
      <c r="H863" t="s">
        <v>31</v>
      </c>
      <c r="I863">
        <v>54362</v>
      </c>
      <c r="J863" t="s">
        <v>28</v>
      </c>
      <c r="K863" t="s">
        <v>21</v>
      </c>
      <c r="L863">
        <v>4.2</v>
      </c>
      <c r="M863">
        <v>3.64</v>
      </c>
      <c r="N863">
        <v>4.82</v>
      </c>
      <c r="O863" t="s">
        <v>22</v>
      </c>
      <c r="P863" t="s">
        <v>32</v>
      </c>
      <c r="Q863" t="s">
        <v>24</v>
      </c>
    </row>
    <row r="864" spans="1:17" x14ac:dyDescent="0.35">
      <c r="A864">
        <v>863</v>
      </c>
      <c r="B864" t="s">
        <v>25</v>
      </c>
      <c r="C864">
        <v>17</v>
      </c>
      <c r="D864" t="s">
        <v>18</v>
      </c>
      <c r="E864" t="s">
        <v>35</v>
      </c>
      <c r="F864">
        <v>7</v>
      </c>
      <c r="G864">
        <v>0.61</v>
      </c>
      <c r="H864" t="s">
        <v>31</v>
      </c>
      <c r="I864">
        <v>49932</v>
      </c>
      <c r="J864" t="s">
        <v>28</v>
      </c>
      <c r="K864" t="s">
        <v>21</v>
      </c>
      <c r="L864">
        <v>3.12</v>
      </c>
      <c r="M864">
        <v>3.94</v>
      </c>
      <c r="N864">
        <v>4.4800000000000004</v>
      </c>
      <c r="O864" t="s">
        <v>34</v>
      </c>
      <c r="P864" t="s">
        <v>23</v>
      </c>
      <c r="Q864" t="s">
        <v>24</v>
      </c>
    </row>
    <row r="865" spans="1:17" x14ac:dyDescent="0.35">
      <c r="A865">
        <v>864</v>
      </c>
      <c r="B865" t="s">
        <v>25</v>
      </c>
      <c r="C865">
        <v>16</v>
      </c>
      <c r="D865" t="s">
        <v>37</v>
      </c>
      <c r="E865" t="s">
        <v>19</v>
      </c>
      <c r="F865">
        <v>12</v>
      </c>
      <c r="G865">
        <v>0.89</v>
      </c>
      <c r="H865" t="s">
        <v>40</v>
      </c>
      <c r="I865">
        <v>28981</v>
      </c>
      <c r="J865" t="s">
        <v>28</v>
      </c>
      <c r="K865" t="s">
        <v>21</v>
      </c>
      <c r="L865">
        <v>4.4400000000000004</v>
      </c>
      <c r="M865">
        <v>4.9800000000000004</v>
      </c>
      <c r="N865">
        <v>3.4</v>
      </c>
      <c r="O865" t="s">
        <v>36</v>
      </c>
      <c r="P865" t="s">
        <v>23</v>
      </c>
      <c r="Q865" t="s">
        <v>29</v>
      </c>
    </row>
    <row r="866" spans="1:17" x14ac:dyDescent="0.35">
      <c r="A866">
        <v>865</v>
      </c>
      <c r="B866" t="s">
        <v>25</v>
      </c>
      <c r="C866">
        <v>18</v>
      </c>
      <c r="D866" t="s">
        <v>42</v>
      </c>
      <c r="E866" t="s">
        <v>19</v>
      </c>
      <c r="F866">
        <v>7</v>
      </c>
      <c r="G866">
        <v>0.89</v>
      </c>
      <c r="H866" t="s">
        <v>27</v>
      </c>
      <c r="I866">
        <v>10901</v>
      </c>
      <c r="J866" t="s">
        <v>21</v>
      </c>
      <c r="K866" t="s">
        <v>28</v>
      </c>
      <c r="L866">
        <v>3.46</v>
      </c>
      <c r="M866">
        <v>4.9400000000000004</v>
      </c>
      <c r="N866">
        <v>4.6900000000000004</v>
      </c>
      <c r="O866" t="s">
        <v>22</v>
      </c>
      <c r="P866" t="s">
        <v>23</v>
      </c>
      <c r="Q866" t="s">
        <v>24</v>
      </c>
    </row>
    <row r="867" spans="1:17" x14ac:dyDescent="0.35">
      <c r="A867">
        <v>866</v>
      </c>
      <c r="B867" t="s">
        <v>17</v>
      </c>
      <c r="C867">
        <v>16</v>
      </c>
      <c r="D867" t="s">
        <v>18</v>
      </c>
      <c r="E867" t="s">
        <v>19</v>
      </c>
      <c r="F867">
        <v>18</v>
      </c>
      <c r="G867">
        <v>0.71</v>
      </c>
      <c r="H867" t="s">
        <v>27</v>
      </c>
      <c r="I867">
        <v>32444</v>
      </c>
      <c r="J867" t="s">
        <v>28</v>
      </c>
      <c r="K867" t="s">
        <v>28</v>
      </c>
      <c r="L867">
        <v>4.37</v>
      </c>
      <c r="M867">
        <v>3.98</v>
      </c>
      <c r="N867">
        <v>3.41</v>
      </c>
      <c r="O867" t="s">
        <v>36</v>
      </c>
      <c r="P867" t="s">
        <v>32</v>
      </c>
      <c r="Q867" t="s">
        <v>29</v>
      </c>
    </row>
    <row r="868" spans="1:17" x14ac:dyDescent="0.35">
      <c r="A868">
        <v>867</v>
      </c>
      <c r="B868" t="s">
        <v>17</v>
      </c>
      <c r="C868">
        <v>16</v>
      </c>
      <c r="D868" t="s">
        <v>26</v>
      </c>
      <c r="E868" t="s">
        <v>19</v>
      </c>
      <c r="F868">
        <v>17</v>
      </c>
      <c r="G868">
        <v>0.69</v>
      </c>
      <c r="H868" t="s">
        <v>20</v>
      </c>
      <c r="I868">
        <v>52058</v>
      </c>
      <c r="J868" t="s">
        <v>28</v>
      </c>
      <c r="K868" t="s">
        <v>28</v>
      </c>
      <c r="L868">
        <v>4.96</v>
      </c>
      <c r="M868">
        <v>4.99</v>
      </c>
      <c r="N868">
        <v>4.49</v>
      </c>
      <c r="O868" t="s">
        <v>34</v>
      </c>
      <c r="P868" t="s">
        <v>32</v>
      </c>
      <c r="Q868" t="s">
        <v>29</v>
      </c>
    </row>
    <row r="869" spans="1:17" x14ac:dyDescent="0.35">
      <c r="A869">
        <v>868</v>
      </c>
      <c r="B869" t="s">
        <v>25</v>
      </c>
      <c r="C869">
        <v>15</v>
      </c>
      <c r="D869" t="s">
        <v>30</v>
      </c>
      <c r="E869" t="s">
        <v>19</v>
      </c>
      <c r="F869">
        <v>17</v>
      </c>
      <c r="G869">
        <v>0.7</v>
      </c>
      <c r="H869" t="s">
        <v>31</v>
      </c>
      <c r="I869">
        <v>28061</v>
      </c>
      <c r="J869" t="s">
        <v>21</v>
      </c>
      <c r="K869" t="s">
        <v>21</v>
      </c>
      <c r="L869">
        <v>4.38</v>
      </c>
      <c r="M869">
        <v>4.7699999999999996</v>
      </c>
      <c r="N869">
        <v>4.37</v>
      </c>
      <c r="O869" t="s">
        <v>34</v>
      </c>
      <c r="P869" t="s">
        <v>32</v>
      </c>
      <c r="Q869" t="s">
        <v>29</v>
      </c>
    </row>
    <row r="870" spans="1:17" x14ac:dyDescent="0.35">
      <c r="A870">
        <v>869</v>
      </c>
      <c r="B870" t="s">
        <v>17</v>
      </c>
      <c r="C870">
        <v>15</v>
      </c>
      <c r="D870" t="s">
        <v>26</v>
      </c>
      <c r="E870" t="s">
        <v>19</v>
      </c>
      <c r="F870">
        <v>6</v>
      </c>
      <c r="G870">
        <v>0.74</v>
      </c>
      <c r="H870" t="s">
        <v>40</v>
      </c>
      <c r="I870">
        <v>12881</v>
      </c>
      <c r="J870" t="s">
        <v>28</v>
      </c>
      <c r="K870" t="s">
        <v>21</v>
      </c>
      <c r="L870">
        <v>4.7699999999999996</v>
      </c>
      <c r="M870">
        <v>4.42</v>
      </c>
      <c r="N870">
        <v>4.5199999999999996</v>
      </c>
      <c r="O870" t="s">
        <v>22</v>
      </c>
      <c r="P870" t="s">
        <v>23</v>
      </c>
      <c r="Q870" t="s">
        <v>29</v>
      </c>
    </row>
    <row r="871" spans="1:17" x14ac:dyDescent="0.35">
      <c r="A871">
        <v>870</v>
      </c>
      <c r="B871" t="s">
        <v>25</v>
      </c>
      <c r="C871">
        <v>16</v>
      </c>
      <c r="D871" t="s">
        <v>18</v>
      </c>
      <c r="E871" t="s">
        <v>19</v>
      </c>
      <c r="F871">
        <v>17</v>
      </c>
      <c r="G871">
        <v>0.75</v>
      </c>
      <c r="H871" t="s">
        <v>40</v>
      </c>
      <c r="I871">
        <v>39863</v>
      </c>
      <c r="J871" t="s">
        <v>28</v>
      </c>
      <c r="K871" t="s">
        <v>28</v>
      </c>
      <c r="L871">
        <v>4.9000000000000004</v>
      </c>
      <c r="M871">
        <v>3.56</v>
      </c>
      <c r="N871">
        <v>4.07</v>
      </c>
      <c r="O871" t="s">
        <v>34</v>
      </c>
      <c r="P871" t="s">
        <v>32</v>
      </c>
      <c r="Q871" t="s">
        <v>29</v>
      </c>
    </row>
    <row r="872" spans="1:17" x14ac:dyDescent="0.35">
      <c r="A872">
        <v>871</v>
      </c>
      <c r="B872" t="s">
        <v>17</v>
      </c>
      <c r="C872">
        <v>17</v>
      </c>
      <c r="D872" t="s">
        <v>33</v>
      </c>
      <c r="E872" t="s">
        <v>19</v>
      </c>
      <c r="F872">
        <v>23</v>
      </c>
      <c r="G872">
        <v>0.76</v>
      </c>
      <c r="H872" t="s">
        <v>40</v>
      </c>
      <c r="I872">
        <v>55826</v>
      </c>
      <c r="J872" t="s">
        <v>21</v>
      </c>
      <c r="K872" t="s">
        <v>21</v>
      </c>
      <c r="L872">
        <v>3.97</v>
      </c>
      <c r="M872">
        <v>4.8499999999999996</v>
      </c>
      <c r="N872">
        <v>4.28</v>
      </c>
      <c r="O872" t="s">
        <v>34</v>
      </c>
      <c r="P872" t="s">
        <v>32</v>
      </c>
      <c r="Q872" t="s">
        <v>24</v>
      </c>
    </row>
    <row r="873" spans="1:17" x14ac:dyDescent="0.35">
      <c r="A873">
        <v>872</v>
      </c>
      <c r="B873" t="s">
        <v>25</v>
      </c>
      <c r="C873">
        <v>15</v>
      </c>
      <c r="D873" t="s">
        <v>30</v>
      </c>
      <c r="E873" t="s">
        <v>35</v>
      </c>
      <c r="F873">
        <v>10</v>
      </c>
      <c r="G873">
        <v>0.85</v>
      </c>
      <c r="H873" t="s">
        <v>40</v>
      </c>
      <c r="I873">
        <v>15622</v>
      </c>
      <c r="J873" t="s">
        <v>21</v>
      </c>
      <c r="K873" t="s">
        <v>21</v>
      </c>
      <c r="L873">
        <v>4.4000000000000004</v>
      </c>
      <c r="M873">
        <v>4.34</v>
      </c>
      <c r="N873">
        <v>4.91</v>
      </c>
      <c r="O873" t="s">
        <v>22</v>
      </c>
      <c r="P873" t="s">
        <v>23</v>
      </c>
      <c r="Q873" t="s">
        <v>24</v>
      </c>
    </row>
    <row r="874" spans="1:17" x14ac:dyDescent="0.35">
      <c r="A874">
        <v>873</v>
      </c>
      <c r="B874" t="s">
        <v>25</v>
      </c>
      <c r="C874">
        <v>17</v>
      </c>
      <c r="D874" t="s">
        <v>39</v>
      </c>
      <c r="E874" t="s">
        <v>35</v>
      </c>
      <c r="F874">
        <v>20</v>
      </c>
      <c r="G874">
        <v>0.61</v>
      </c>
      <c r="H874" t="s">
        <v>40</v>
      </c>
      <c r="I874">
        <v>11378</v>
      </c>
      <c r="J874" t="s">
        <v>21</v>
      </c>
      <c r="K874" t="s">
        <v>28</v>
      </c>
      <c r="L874">
        <v>4.7</v>
      </c>
      <c r="M874">
        <v>4.8</v>
      </c>
      <c r="N874">
        <v>3.2</v>
      </c>
      <c r="O874" t="s">
        <v>36</v>
      </c>
      <c r="P874" t="s">
        <v>32</v>
      </c>
      <c r="Q874" t="s">
        <v>29</v>
      </c>
    </row>
    <row r="875" spans="1:17" x14ac:dyDescent="0.35">
      <c r="A875">
        <v>874</v>
      </c>
      <c r="B875" t="s">
        <v>17</v>
      </c>
      <c r="C875">
        <v>16</v>
      </c>
      <c r="D875" t="s">
        <v>26</v>
      </c>
      <c r="E875" t="s">
        <v>19</v>
      </c>
      <c r="F875">
        <v>6</v>
      </c>
      <c r="G875">
        <v>0.71</v>
      </c>
      <c r="H875" t="s">
        <v>27</v>
      </c>
      <c r="I875">
        <v>27632</v>
      </c>
      <c r="J875" t="s">
        <v>28</v>
      </c>
      <c r="K875" t="s">
        <v>28</v>
      </c>
      <c r="L875">
        <v>3.71</v>
      </c>
      <c r="M875">
        <v>4.75</v>
      </c>
      <c r="N875">
        <v>3.62</v>
      </c>
      <c r="O875" t="s">
        <v>34</v>
      </c>
      <c r="P875" t="s">
        <v>23</v>
      </c>
      <c r="Q875" t="s">
        <v>29</v>
      </c>
    </row>
    <row r="876" spans="1:17" x14ac:dyDescent="0.35">
      <c r="A876">
        <v>875</v>
      </c>
      <c r="B876" t="s">
        <v>25</v>
      </c>
      <c r="C876">
        <v>16</v>
      </c>
      <c r="D876" t="s">
        <v>33</v>
      </c>
      <c r="E876" t="s">
        <v>19</v>
      </c>
      <c r="F876">
        <v>12</v>
      </c>
      <c r="G876">
        <v>0.85</v>
      </c>
      <c r="H876" t="s">
        <v>27</v>
      </c>
      <c r="I876">
        <v>38311</v>
      </c>
      <c r="J876" t="s">
        <v>21</v>
      </c>
      <c r="K876" t="s">
        <v>21</v>
      </c>
      <c r="L876">
        <v>3.52</v>
      </c>
      <c r="M876">
        <v>4.75</v>
      </c>
      <c r="N876">
        <v>4.22</v>
      </c>
      <c r="O876" t="s">
        <v>34</v>
      </c>
      <c r="P876" t="s">
        <v>23</v>
      </c>
      <c r="Q876" t="s">
        <v>24</v>
      </c>
    </row>
    <row r="877" spans="1:17" x14ac:dyDescent="0.35">
      <c r="A877">
        <v>876</v>
      </c>
      <c r="B877" t="s">
        <v>17</v>
      </c>
      <c r="C877">
        <v>18</v>
      </c>
      <c r="D877" t="s">
        <v>42</v>
      </c>
      <c r="E877" t="s">
        <v>35</v>
      </c>
      <c r="F877">
        <v>21</v>
      </c>
      <c r="G877">
        <v>0.82</v>
      </c>
      <c r="H877" t="s">
        <v>27</v>
      </c>
      <c r="I877">
        <v>15650</v>
      </c>
      <c r="J877" t="s">
        <v>21</v>
      </c>
      <c r="K877" t="s">
        <v>28</v>
      </c>
      <c r="L877">
        <v>4.8899999999999997</v>
      </c>
      <c r="M877">
        <v>4.55</v>
      </c>
      <c r="N877">
        <v>4.93</v>
      </c>
      <c r="O877" t="s">
        <v>22</v>
      </c>
      <c r="P877" t="s">
        <v>32</v>
      </c>
      <c r="Q877" t="s">
        <v>24</v>
      </c>
    </row>
    <row r="878" spans="1:17" x14ac:dyDescent="0.35">
      <c r="A878">
        <v>877</v>
      </c>
      <c r="B878" t="s">
        <v>25</v>
      </c>
      <c r="C878">
        <v>15</v>
      </c>
      <c r="D878" t="s">
        <v>42</v>
      </c>
      <c r="E878" t="s">
        <v>35</v>
      </c>
      <c r="F878">
        <v>27</v>
      </c>
      <c r="G878">
        <v>0.77</v>
      </c>
      <c r="H878" t="s">
        <v>31</v>
      </c>
      <c r="I878">
        <v>55201</v>
      </c>
      <c r="J878" t="s">
        <v>21</v>
      </c>
      <c r="K878" t="s">
        <v>21</v>
      </c>
      <c r="L878">
        <v>4.45</v>
      </c>
      <c r="M878">
        <v>3.94</v>
      </c>
      <c r="N878">
        <v>3.19</v>
      </c>
      <c r="O878" t="s">
        <v>36</v>
      </c>
      <c r="P878" t="s">
        <v>32</v>
      </c>
      <c r="Q878" t="s">
        <v>29</v>
      </c>
    </row>
    <row r="879" spans="1:17" x14ac:dyDescent="0.35">
      <c r="A879">
        <v>878</v>
      </c>
      <c r="B879" t="s">
        <v>25</v>
      </c>
      <c r="C879">
        <v>16</v>
      </c>
      <c r="D879" t="s">
        <v>26</v>
      </c>
      <c r="E879" t="s">
        <v>35</v>
      </c>
      <c r="F879">
        <v>6</v>
      </c>
      <c r="G879">
        <v>0.91</v>
      </c>
      <c r="H879" t="s">
        <v>20</v>
      </c>
      <c r="I879">
        <v>52224</v>
      </c>
      <c r="J879" t="s">
        <v>28</v>
      </c>
      <c r="K879" t="s">
        <v>28</v>
      </c>
      <c r="L879">
        <v>3.44</v>
      </c>
      <c r="M879">
        <v>4</v>
      </c>
      <c r="N879">
        <v>3.05</v>
      </c>
      <c r="O879" t="s">
        <v>36</v>
      </c>
      <c r="P879" t="s">
        <v>23</v>
      </c>
      <c r="Q879" t="s">
        <v>29</v>
      </c>
    </row>
    <row r="880" spans="1:17" x14ac:dyDescent="0.35">
      <c r="A880">
        <v>879</v>
      </c>
      <c r="B880" t="s">
        <v>17</v>
      </c>
      <c r="C880">
        <v>18</v>
      </c>
      <c r="D880" t="s">
        <v>18</v>
      </c>
      <c r="E880" t="s">
        <v>19</v>
      </c>
      <c r="F880">
        <v>14</v>
      </c>
      <c r="G880">
        <v>0.97</v>
      </c>
      <c r="H880" t="s">
        <v>40</v>
      </c>
      <c r="I880">
        <v>17036</v>
      </c>
      <c r="J880" t="s">
        <v>21</v>
      </c>
      <c r="K880" t="s">
        <v>28</v>
      </c>
      <c r="L880">
        <v>3.9</v>
      </c>
      <c r="M880">
        <v>3.96</v>
      </c>
      <c r="N880">
        <v>3.11</v>
      </c>
      <c r="O880" t="s">
        <v>36</v>
      </c>
      <c r="P880" t="s">
        <v>23</v>
      </c>
      <c r="Q880" t="s">
        <v>29</v>
      </c>
    </row>
    <row r="881" spans="1:17" x14ac:dyDescent="0.35">
      <c r="A881">
        <v>880</v>
      </c>
      <c r="B881" t="s">
        <v>17</v>
      </c>
      <c r="C881">
        <v>15</v>
      </c>
      <c r="D881" t="s">
        <v>33</v>
      </c>
      <c r="E881" t="s">
        <v>35</v>
      </c>
      <c r="F881">
        <v>20</v>
      </c>
      <c r="G881">
        <v>0.62</v>
      </c>
      <c r="H881" t="s">
        <v>31</v>
      </c>
      <c r="I881">
        <v>49255</v>
      </c>
      <c r="J881" t="s">
        <v>28</v>
      </c>
      <c r="K881" t="s">
        <v>28</v>
      </c>
      <c r="L881">
        <v>4.59</v>
      </c>
      <c r="M881">
        <v>3.53</v>
      </c>
      <c r="N881">
        <v>3.1</v>
      </c>
      <c r="O881" t="s">
        <v>36</v>
      </c>
      <c r="P881" t="s">
        <v>32</v>
      </c>
      <c r="Q881" t="s">
        <v>29</v>
      </c>
    </row>
    <row r="882" spans="1:17" x14ac:dyDescent="0.35">
      <c r="A882">
        <v>881</v>
      </c>
      <c r="B882" t="s">
        <v>17</v>
      </c>
      <c r="C882">
        <v>16</v>
      </c>
      <c r="D882" t="s">
        <v>42</v>
      </c>
      <c r="E882" t="s">
        <v>19</v>
      </c>
      <c r="F882">
        <v>10</v>
      </c>
      <c r="G882">
        <v>0.97</v>
      </c>
      <c r="H882" t="s">
        <v>40</v>
      </c>
      <c r="I882">
        <v>32499</v>
      </c>
      <c r="J882" t="s">
        <v>28</v>
      </c>
      <c r="K882" t="s">
        <v>21</v>
      </c>
      <c r="L882">
        <v>4.09</v>
      </c>
      <c r="M882">
        <v>4.37</v>
      </c>
      <c r="N882">
        <v>4.82</v>
      </c>
      <c r="O882" t="s">
        <v>22</v>
      </c>
      <c r="P882" t="s">
        <v>23</v>
      </c>
      <c r="Q882" t="s">
        <v>24</v>
      </c>
    </row>
    <row r="883" spans="1:17" x14ac:dyDescent="0.35">
      <c r="A883">
        <v>882</v>
      </c>
      <c r="B883" t="s">
        <v>25</v>
      </c>
      <c r="C883">
        <v>16</v>
      </c>
      <c r="D883" t="s">
        <v>39</v>
      </c>
      <c r="E883" t="s">
        <v>19</v>
      </c>
      <c r="F883">
        <v>6</v>
      </c>
      <c r="G883">
        <v>0.62</v>
      </c>
      <c r="H883" t="s">
        <v>27</v>
      </c>
      <c r="I883">
        <v>47016</v>
      </c>
      <c r="J883" t="s">
        <v>21</v>
      </c>
      <c r="K883" t="s">
        <v>21</v>
      </c>
      <c r="L883">
        <v>4.3</v>
      </c>
      <c r="M883">
        <v>4.55</v>
      </c>
      <c r="N883">
        <v>4.4400000000000004</v>
      </c>
      <c r="O883" t="s">
        <v>34</v>
      </c>
      <c r="P883" t="s">
        <v>23</v>
      </c>
      <c r="Q883" t="s">
        <v>24</v>
      </c>
    </row>
    <row r="884" spans="1:17" x14ac:dyDescent="0.35">
      <c r="A884">
        <v>883</v>
      </c>
      <c r="B884" t="s">
        <v>17</v>
      </c>
      <c r="C884">
        <v>15</v>
      </c>
      <c r="D884" t="s">
        <v>41</v>
      </c>
      <c r="E884" t="s">
        <v>35</v>
      </c>
      <c r="F884">
        <v>6</v>
      </c>
      <c r="G884">
        <v>0.89</v>
      </c>
      <c r="H884" t="s">
        <v>31</v>
      </c>
      <c r="I884">
        <v>14603</v>
      </c>
      <c r="J884" t="s">
        <v>28</v>
      </c>
      <c r="K884" t="s">
        <v>28</v>
      </c>
      <c r="L884">
        <v>4.51</v>
      </c>
      <c r="M884">
        <v>4.78</v>
      </c>
      <c r="N884">
        <v>4.3499999999999996</v>
      </c>
      <c r="O884" t="s">
        <v>34</v>
      </c>
      <c r="P884" t="s">
        <v>23</v>
      </c>
      <c r="Q884" t="s">
        <v>29</v>
      </c>
    </row>
    <row r="885" spans="1:17" x14ac:dyDescent="0.35">
      <c r="A885">
        <v>884</v>
      </c>
      <c r="B885" t="s">
        <v>25</v>
      </c>
      <c r="C885">
        <v>15</v>
      </c>
      <c r="D885" t="s">
        <v>18</v>
      </c>
      <c r="E885" t="s">
        <v>19</v>
      </c>
      <c r="F885">
        <v>17</v>
      </c>
      <c r="G885">
        <v>0.6</v>
      </c>
      <c r="H885" t="s">
        <v>27</v>
      </c>
      <c r="I885">
        <v>37773</v>
      </c>
      <c r="J885" t="s">
        <v>28</v>
      </c>
      <c r="K885" t="s">
        <v>28</v>
      </c>
      <c r="L885">
        <v>4.24</v>
      </c>
      <c r="M885">
        <v>3.71</v>
      </c>
      <c r="N885">
        <v>4.05</v>
      </c>
      <c r="O885" t="s">
        <v>34</v>
      </c>
      <c r="P885" t="s">
        <v>32</v>
      </c>
      <c r="Q885" t="s">
        <v>29</v>
      </c>
    </row>
    <row r="886" spans="1:17" x14ac:dyDescent="0.35">
      <c r="A886">
        <v>885</v>
      </c>
      <c r="B886" t="s">
        <v>25</v>
      </c>
      <c r="C886">
        <v>15</v>
      </c>
      <c r="D886" t="s">
        <v>33</v>
      </c>
      <c r="E886" t="s">
        <v>19</v>
      </c>
      <c r="F886">
        <v>28</v>
      </c>
      <c r="G886">
        <v>0.89</v>
      </c>
      <c r="H886" t="s">
        <v>40</v>
      </c>
      <c r="I886">
        <v>29937</v>
      </c>
      <c r="J886" t="s">
        <v>21</v>
      </c>
      <c r="K886" t="s">
        <v>28</v>
      </c>
      <c r="L886">
        <v>4.08</v>
      </c>
      <c r="M886">
        <v>4.32</v>
      </c>
      <c r="N886">
        <v>4.5599999999999996</v>
      </c>
      <c r="O886" t="s">
        <v>22</v>
      </c>
      <c r="P886" t="s">
        <v>32</v>
      </c>
      <c r="Q886" t="s">
        <v>24</v>
      </c>
    </row>
    <row r="887" spans="1:17" x14ac:dyDescent="0.35">
      <c r="A887">
        <v>886</v>
      </c>
      <c r="B887" t="s">
        <v>17</v>
      </c>
      <c r="C887">
        <v>16</v>
      </c>
      <c r="D887" t="s">
        <v>39</v>
      </c>
      <c r="E887" t="s">
        <v>19</v>
      </c>
      <c r="F887">
        <v>19</v>
      </c>
      <c r="G887">
        <v>0.91</v>
      </c>
      <c r="H887" t="s">
        <v>40</v>
      </c>
      <c r="I887">
        <v>22632</v>
      </c>
      <c r="J887" t="s">
        <v>28</v>
      </c>
      <c r="K887" t="s">
        <v>21</v>
      </c>
      <c r="L887">
        <v>4.5</v>
      </c>
      <c r="M887">
        <v>3.51</v>
      </c>
      <c r="N887">
        <v>3.31</v>
      </c>
      <c r="O887" t="s">
        <v>36</v>
      </c>
      <c r="P887" t="s">
        <v>32</v>
      </c>
      <c r="Q887" t="s">
        <v>29</v>
      </c>
    </row>
    <row r="888" spans="1:17" x14ac:dyDescent="0.35">
      <c r="A888">
        <v>887</v>
      </c>
      <c r="B888" t="s">
        <v>17</v>
      </c>
      <c r="C888">
        <v>16</v>
      </c>
      <c r="D888" t="s">
        <v>33</v>
      </c>
      <c r="E888" t="s">
        <v>19</v>
      </c>
      <c r="F888">
        <v>6</v>
      </c>
      <c r="G888">
        <v>0.87</v>
      </c>
      <c r="H888" t="s">
        <v>20</v>
      </c>
      <c r="I888">
        <v>40607</v>
      </c>
      <c r="J888" t="s">
        <v>21</v>
      </c>
      <c r="K888" t="s">
        <v>28</v>
      </c>
      <c r="L888">
        <v>4.46</v>
      </c>
      <c r="M888">
        <v>3.64</v>
      </c>
      <c r="N888">
        <v>3.78</v>
      </c>
      <c r="O888" t="s">
        <v>34</v>
      </c>
      <c r="P888" t="s">
        <v>23</v>
      </c>
      <c r="Q888" t="s">
        <v>29</v>
      </c>
    </row>
    <row r="889" spans="1:17" x14ac:dyDescent="0.35">
      <c r="A889">
        <v>888</v>
      </c>
      <c r="B889" t="s">
        <v>25</v>
      </c>
      <c r="C889">
        <v>18</v>
      </c>
      <c r="D889" t="s">
        <v>30</v>
      </c>
      <c r="E889" t="s">
        <v>35</v>
      </c>
      <c r="F889">
        <v>11</v>
      </c>
      <c r="G889">
        <v>0.8</v>
      </c>
      <c r="H889" t="s">
        <v>40</v>
      </c>
      <c r="I889">
        <v>36337</v>
      </c>
      <c r="J889" t="s">
        <v>28</v>
      </c>
      <c r="K889" t="s">
        <v>28</v>
      </c>
      <c r="L889">
        <v>4.26</v>
      </c>
      <c r="M889">
        <v>3.58</v>
      </c>
      <c r="N889">
        <v>3.98</v>
      </c>
      <c r="O889" t="s">
        <v>34</v>
      </c>
      <c r="P889" t="s">
        <v>23</v>
      </c>
      <c r="Q889" t="s">
        <v>29</v>
      </c>
    </row>
    <row r="890" spans="1:17" x14ac:dyDescent="0.35">
      <c r="A890">
        <v>889</v>
      </c>
      <c r="B890" t="s">
        <v>25</v>
      </c>
      <c r="C890">
        <v>17</v>
      </c>
      <c r="D890" t="s">
        <v>39</v>
      </c>
      <c r="E890" t="s">
        <v>35</v>
      </c>
      <c r="F890">
        <v>7</v>
      </c>
      <c r="G890">
        <v>0.72</v>
      </c>
      <c r="H890" t="s">
        <v>27</v>
      </c>
      <c r="I890">
        <v>10220</v>
      </c>
      <c r="J890" t="s">
        <v>28</v>
      </c>
      <c r="K890" t="s">
        <v>28</v>
      </c>
      <c r="L890">
        <v>3.72</v>
      </c>
      <c r="M890">
        <v>4.59</v>
      </c>
      <c r="N890">
        <v>3.22</v>
      </c>
      <c r="O890" t="s">
        <v>36</v>
      </c>
      <c r="P890" t="s">
        <v>23</v>
      </c>
      <c r="Q890" t="s">
        <v>29</v>
      </c>
    </row>
    <row r="891" spans="1:17" x14ac:dyDescent="0.35">
      <c r="A891">
        <v>890</v>
      </c>
      <c r="B891" t="s">
        <v>17</v>
      </c>
      <c r="C891">
        <v>15</v>
      </c>
      <c r="D891" t="s">
        <v>18</v>
      </c>
      <c r="E891" t="s">
        <v>19</v>
      </c>
      <c r="F891">
        <v>12</v>
      </c>
      <c r="G891">
        <v>0.86</v>
      </c>
      <c r="H891" t="s">
        <v>40</v>
      </c>
      <c r="I891">
        <v>56994</v>
      </c>
      <c r="J891" t="s">
        <v>21</v>
      </c>
      <c r="K891" t="s">
        <v>28</v>
      </c>
      <c r="L891">
        <v>3.81</v>
      </c>
      <c r="M891">
        <v>3.62</v>
      </c>
      <c r="N891">
        <v>3.84</v>
      </c>
      <c r="O891" t="s">
        <v>34</v>
      </c>
      <c r="P891" t="s">
        <v>23</v>
      </c>
      <c r="Q891" t="s">
        <v>24</v>
      </c>
    </row>
    <row r="892" spans="1:17" x14ac:dyDescent="0.35">
      <c r="A892">
        <v>891</v>
      </c>
      <c r="B892" t="s">
        <v>17</v>
      </c>
      <c r="C892">
        <v>16</v>
      </c>
      <c r="D892" t="s">
        <v>30</v>
      </c>
      <c r="E892" t="s">
        <v>19</v>
      </c>
      <c r="F892">
        <v>27</v>
      </c>
      <c r="G892">
        <v>0.95</v>
      </c>
      <c r="H892" t="s">
        <v>20</v>
      </c>
      <c r="I892">
        <v>14818</v>
      </c>
      <c r="J892" t="s">
        <v>21</v>
      </c>
      <c r="K892" t="s">
        <v>21</v>
      </c>
      <c r="L892">
        <v>4.9400000000000004</v>
      </c>
      <c r="M892">
        <v>4.57</v>
      </c>
      <c r="N892">
        <v>3.63</v>
      </c>
      <c r="O892" t="s">
        <v>34</v>
      </c>
      <c r="P892" t="s">
        <v>32</v>
      </c>
      <c r="Q892" t="s">
        <v>29</v>
      </c>
    </row>
    <row r="893" spans="1:17" x14ac:dyDescent="0.35">
      <c r="A893">
        <v>892</v>
      </c>
      <c r="B893" t="s">
        <v>17</v>
      </c>
      <c r="C893">
        <v>16</v>
      </c>
      <c r="D893" t="s">
        <v>18</v>
      </c>
      <c r="E893" t="s">
        <v>35</v>
      </c>
      <c r="F893">
        <v>18</v>
      </c>
      <c r="G893">
        <v>0.66</v>
      </c>
      <c r="H893" t="s">
        <v>20</v>
      </c>
      <c r="I893">
        <v>17349</v>
      </c>
      <c r="J893" t="s">
        <v>28</v>
      </c>
      <c r="K893" t="s">
        <v>21</v>
      </c>
      <c r="L893">
        <v>3.22</v>
      </c>
      <c r="M893">
        <v>3.87</v>
      </c>
      <c r="N893">
        <v>3.07</v>
      </c>
      <c r="O893" t="s">
        <v>36</v>
      </c>
      <c r="P893" t="s">
        <v>32</v>
      </c>
      <c r="Q893" t="s">
        <v>29</v>
      </c>
    </row>
    <row r="894" spans="1:17" x14ac:dyDescent="0.35">
      <c r="A894">
        <v>893</v>
      </c>
      <c r="B894" t="s">
        <v>17</v>
      </c>
      <c r="C894">
        <v>15</v>
      </c>
      <c r="D894" t="s">
        <v>42</v>
      </c>
      <c r="E894" t="s">
        <v>19</v>
      </c>
      <c r="F894">
        <v>28</v>
      </c>
      <c r="G894">
        <v>0.81</v>
      </c>
      <c r="H894" t="s">
        <v>27</v>
      </c>
      <c r="I894">
        <v>15618</v>
      </c>
      <c r="J894" t="s">
        <v>28</v>
      </c>
      <c r="K894" t="s">
        <v>28</v>
      </c>
      <c r="L894">
        <v>3.54</v>
      </c>
      <c r="M894">
        <v>4.82</v>
      </c>
      <c r="N894">
        <v>3.27</v>
      </c>
      <c r="O894" t="s">
        <v>36</v>
      </c>
      <c r="P894" t="s">
        <v>32</v>
      </c>
      <c r="Q894" t="s">
        <v>29</v>
      </c>
    </row>
    <row r="895" spans="1:17" x14ac:dyDescent="0.35">
      <c r="A895">
        <v>894</v>
      </c>
      <c r="B895" t="s">
        <v>17</v>
      </c>
      <c r="C895">
        <v>17</v>
      </c>
      <c r="D895" t="s">
        <v>41</v>
      </c>
      <c r="E895" t="s">
        <v>35</v>
      </c>
      <c r="F895">
        <v>27</v>
      </c>
      <c r="G895">
        <v>0.69</v>
      </c>
      <c r="H895" t="s">
        <v>31</v>
      </c>
      <c r="I895">
        <v>37464</v>
      </c>
      <c r="J895" t="s">
        <v>21</v>
      </c>
      <c r="K895" t="s">
        <v>21</v>
      </c>
      <c r="L895">
        <v>3.98</v>
      </c>
      <c r="M895">
        <v>4.72</v>
      </c>
      <c r="N895">
        <v>4.53</v>
      </c>
      <c r="O895" t="s">
        <v>22</v>
      </c>
      <c r="P895" t="s">
        <v>32</v>
      </c>
      <c r="Q895" t="s">
        <v>24</v>
      </c>
    </row>
    <row r="896" spans="1:17" x14ac:dyDescent="0.35">
      <c r="A896">
        <v>895</v>
      </c>
      <c r="B896" t="s">
        <v>25</v>
      </c>
      <c r="C896">
        <v>15</v>
      </c>
      <c r="D896" t="s">
        <v>18</v>
      </c>
      <c r="E896" t="s">
        <v>19</v>
      </c>
      <c r="F896">
        <v>26</v>
      </c>
      <c r="G896">
        <v>0.98</v>
      </c>
      <c r="H896" t="s">
        <v>40</v>
      </c>
      <c r="I896">
        <v>52624</v>
      </c>
      <c r="J896" t="s">
        <v>28</v>
      </c>
      <c r="K896" t="s">
        <v>21</v>
      </c>
      <c r="L896">
        <v>4.67</v>
      </c>
      <c r="M896">
        <v>4.9400000000000004</v>
      </c>
      <c r="N896">
        <v>3.04</v>
      </c>
      <c r="O896" t="s">
        <v>36</v>
      </c>
      <c r="P896" t="s">
        <v>32</v>
      </c>
      <c r="Q896" t="s">
        <v>29</v>
      </c>
    </row>
    <row r="897" spans="1:17" x14ac:dyDescent="0.35">
      <c r="A897">
        <v>896</v>
      </c>
      <c r="B897" t="s">
        <v>25</v>
      </c>
      <c r="C897">
        <v>17</v>
      </c>
      <c r="D897" t="s">
        <v>18</v>
      </c>
      <c r="E897" t="s">
        <v>19</v>
      </c>
      <c r="F897">
        <v>11</v>
      </c>
      <c r="G897">
        <v>0.74</v>
      </c>
      <c r="H897" t="s">
        <v>20</v>
      </c>
      <c r="I897">
        <v>47344</v>
      </c>
      <c r="J897" t="s">
        <v>28</v>
      </c>
      <c r="K897" t="s">
        <v>21</v>
      </c>
      <c r="L897">
        <v>3.33</v>
      </c>
      <c r="M897">
        <v>4.83</v>
      </c>
      <c r="N897">
        <v>4.87</v>
      </c>
      <c r="O897" t="s">
        <v>22</v>
      </c>
      <c r="P897" t="s">
        <v>23</v>
      </c>
      <c r="Q897" t="s">
        <v>24</v>
      </c>
    </row>
    <row r="898" spans="1:17" x14ac:dyDescent="0.35">
      <c r="A898">
        <v>897</v>
      </c>
      <c r="B898" t="s">
        <v>25</v>
      </c>
      <c r="C898">
        <v>16</v>
      </c>
      <c r="D898" t="s">
        <v>42</v>
      </c>
      <c r="E898" t="s">
        <v>35</v>
      </c>
      <c r="F898">
        <v>25</v>
      </c>
      <c r="G898">
        <v>0.74</v>
      </c>
      <c r="H898" t="s">
        <v>40</v>
      </c>
      <c r="I898">
        <v>28255</v>
      </c>
      <c r="J898" t="s">
        <v>28</v>
      </c>
      <c r="K898" t="s">
        <v>28</v>
      </c>
      <c r="L898">
        <v>3.55</v>
      </c>
      <c r="M898">
        <v>4.9000000000000004</v>
      </c>
      <c r="N898">
        <v>3.17</v>
      </c>
      <c r="O898" t="s">
        <v>36</v>
      </c>
      <c r="P898" t="s">
        <v>32</v>
      </c>
      <c r="Q898" t="s">
        <v>29</v>
      </c>
    </row>
    <row r="899" spans="1:17" x14ac:dyDescent="0.35">
      <c r="A899">
        <v>898</v>
      </c>
      <c r="B899" t="s">
        <v>25</v>
      </c>
      <c r="C899">
        <v>17</v>
      </c>
      <c r="D899" t="s">
        <v>37</v>
      </c>
      <c r="E899" t="s">
        <v>35</v>
      </c>
      <c r="F899">
        <v>11</v>
      </c>
      <c r="G899">
        <v>0.63</v>
      </c>
      <c r="H899" t="s">
        <v>40</v>
      </c>
      <c r="I899">
        <v>34299</v>
      </c>
      <c r="J899" t="s">
        <v>28</v>
      </c>
      <c r="K899" t="s">
        <v>21</v>
      </c>
      <c r="L899">
        <v>3.13</v>
      </c>
      <c r="M899">
        <v>4.79</v>
      </c>
      <c r="N899">
        <v>4.5999999999999996</v>
      </c>
      <c r="O899" t="s">
        <v>22</v>
      </c>
      <c r="P899" t="s">
        <v>23</v>
      </c>
      <c r="Q899" t="s">
        <v>24</v>
      </c>
    </row>
    <row r="900" spans="1:17" x14ac:dyDescent="0.35">
      <c r="A900">
        <v>899</v>
      </c>
      <c r="B900" t="s">
        <v>17</v>
      </c>
      <c r="C900">
        <v>18</v>
      </c>
      <c r="D900" t="s">
        <v>42</v>
      </c>
      <c r="E900" t="s">
        <v>35</v>
      </c>
      <c r="F900">
        <v>5</v>
      </c>
      <c r="G900">
        <v>0.91</v>
      </c>
      <c r="H900" t="s">
        <v>31</v>
      </c>
      <c r="I900">
        <v>57975</v>
      </c>
      <c r="J900" t="s">
        <v>21</v>
      </c>
      <c r="K900" t="s">
        <v>21</v>
      </c>
      <c r="L900">
        <v>4.41</v>
      </c>
      <c r="M900">
        <v>4.54</v>
      </c>
      <c r="N900">
        <v>4.8</v>
      </c>
      <c r="O900" t="s">
        <v>22</v>
      </c>
      <c r="P900" t="s">
        <v>23</v>
      </c>
      <c r="Q900" t="s">
        <v>24</v>
      </c>
    </row>
    <row r="901" spans="1:17" x14ac:dyDescent="0.35">
      <c r="A901">
        <v>900</v>
      </c>
      <c r="B901" t="s">
        <v>17</v>
      </c>
      <c r="C901">
        <v>16</v>
      </c>
      <c r="D901" t="s">
        <v>30</v>
      </c>
      <c r="E901" t="s">
        <v>35</v>
      </c>
      <c r="F901">
        <v>21</v>
      </c>
      <c r="G901">
        <v>0.82</v>
      </c>
      <c r="H901" t="s">
        <v>20</v>
      </c>
      <c r="I901">
        <v>11462</v>
      </c>
      <c r="J901" t="s">
        <v>21</v>
      </c>
      <c r="K901" t="s">
        <v>21</v>
      </c>
      <c r="L901">
        <v>3.48</v>
      </c>
      <c r="M901">
        <v>3.76</v>
      </c>
      <c r="N901">
        <v>4.88</v>
      </c>
      <c r="O901" t="s">
        <v>22</v>
      </c>
      <c r="P901" t="s">
        <v>32</v>
      </c>
      <c r="Q901" t="s">
        <v>24</v>
      </c>
    </row>
    <row r="902" spans="1:17" x14ac:dyDescent="0.35">
      <c r="A902">
        <v>901</v>
      </c>
      <c r="B902" t="s">
        <v>17</v>
      </c>
      <c r="C902">
        <v>18</v>
      </c>
      <c r="D902" t="s">
        <v>42</v>
      </c>
      <c r="E902" t="s">
        <v>19</v>
      </c>
      <c r="F902">
        <v>13</v>
      </c>
      <c r="G902">
        <v>0.65</v>
      </c>
      <c r="H902" t="s">
        <v>40</v>
      </c>
      <c r="I902">
        <v>25905</v>
      </c>
      <c r="J902" t="s">
        <v>21</v>
      </c>
      <c r="K902" t="s">
        <v>28</v>
      </c>
      <c r="L902">
        <v>3.78</v>
      </c>
      <c r="M902">
        <v>3.91</v>
      </c>
      <c r="N902">
        <v>4.7300000000000004</v>
      </c>
      <c r="O902" t="s">
        <v>22</v>
      </c>
      <c r="P902" t="s">
        <v>23</v>
      </c>
      <c r="Q902" t="s">
        <v>24</v>
      </c>
    </row>
    <row r="903" spans="1:17" x14ac:dyDescent="0.35">
      <c r="A903">
        <v>902</v>
      </c>
      <c r="B903" t="s">
        <v>25</v>
      </c>
      <c r="C903">
        <v>15</v>
      </c>
      <c r="D903" t="s">
        <v>42</v>
      </c>
      <c r="E903" t="s">
        <v>35</v>
      </c>
      <c r="F903">
        <v>25</v>
      </c>
      <c r="G903">
        <v>0.83</v>
      </c>
      <c r="H903" t="s">
        <v>20</v>
      </c>
      <c r="I903">
        <v>34920</v>
      </c>
      <c r="J903" t="s">
        <v>21</v>
      </c>
      <c r="K903" t="s">
        <v>28</v>
      </c>
      <c r="L903">
        <v>3.89</v>
      </c>
      <c r="M903">
        <v>3.82</v>
      </c>
      <c r="N903">
        <v>3.58</v>
      </c>
      <c r="O903" t="s">
        <v>34</v>
      </c>
      <c r="P903" t="s">
        <v>32</v>
      </c>
      <c r="Q903" t="s">
        <v>29</v>
      </c>
    </row>
    <row r="904" spans="1:17" x14ac:dyDescent="0.35">
      <c r="A904">
        <v>903</v>
      </c>
      <c r="B904" t="s">
        <v>25</v>
      </c>
      <c r="C904">
        <v>15</v>
      </c>
      <c r="D904" t="s">
        <v>41</v>
      </c>
      <c r="E904" t="s">
        <v>19</v>
      </c>
      <c r="F904">
        <v>17</v>
      </c>
      <c r="G904">
        <v>0.79</v>
      </c>
      <c r="H904" t="s">
        <v>27</v>
      </c>
      <c r="I904">
        <v>26252</v>
      </c>
      <c r="J904" t="s">
        <v>21</v>
      </c>
      <c r="K904" t="s">
        <v>21</v>
      </c>
      <c r="L904">
        <v>4.78</v>
      </c>
      <c r="M904">
        <v>4.41</v>
      </c>
      <c r="N904">
        <v>3.67</v>
      </c>
      <c r="O904" t="s">
        <v>34</v>
      </c>
      <c r="P904" t="s">
        <v>32</v>
      </c>
      <c r="Q904" t="s">
        <v>29</v>
      </c>
    </row>
    <row r="905" spans="1:17" x14ac:dyDescent="0.35">
      <c r="A905">
        <v>904</v>
      </c>
      <c r="B905" t="s">
        <v>17</v>
      </c>
      <c r="C905">
        <v>15</v>
      </c>
      <c r="D905" t="s">
        <v>42</v>
      </c>
      <c r="E905" t="s">
        <v>35</v>
      </c>
      <c r="F905">
        <v>25</v>
      </c>
      <c r="G905">
        <v>0.96</v>
      </c>
      <c r="H905" t="s">
        <v>27</v>
      </c>
      <c r="I905">
        <v>51004</v>
      </c>
      <c r="J905" t="s">
        <v>21</v>
      </c>
      <c r="K905" t="s">
        <v>21</v>
      </c>
      <c r="L905">
        <v>3.82</v>
      </c>
      <c r="M905">
        <v>4.26</v>
      </c>
      <c r="N905">
        <v>3.85</v>
      </c>
      <c r="O905" t="s">
        <v>34</v>
      </c>
      <c r="P905" t="s">
        <v>32</v>
      </c>
      <c r="Q905" t="s">
        <v>24</v>
      </c>
    </row>
    <row r="906" spans="1:17" x14ac:dyDescent="0.35">
      <c r="A906">
        <v>905</v>
      </c>
      <c r="B906" t="s">
        <v>17</v>
      </c>
      <c r="C906">
        <v>17</v>
      </c>
      <c r="D906" t="s">
        <v>33</v>
      </c>
      <c r="E906" t="s">
        <v>35</v>
      </c>
      <c r="F906">
        <v>23</v>
      </c>
      <c r="G906">
        <v>0.79</v>
      </c>
      <c r="H906" t="s">
        <v>40</v>
      </c>
      <c r="I906">
        <v>50581</v>
      </c>
      <c r="J906" t="s">
        <v>28</v>
      </c>
      <c r="K906" t="s">
        <v>28</v>
      </c>
      <c r="L906">
        <v>3.29</v>
      </c>
      <c r="M906">
        <v>4.8</v>
      </c>
      <c r="N906">
        <v>3.28</v>
      </c>
      <c r="O906" t="s">
        <v>36</v>
      </c>
      <c r="P906" t="s">
        <v>32</v>
      </c>
      <c r="Q906" t="s">
        <v>29</v>
      </c>
    </row>
    <row r="907" spans="1:17" x14ac:dyDescent="0.35">
      <c r="A907">
        <v>906</v>
      </c>
      <c r="B907" t="s">
        <v>25</v>
      </c>
      <c r="C907">
        <v>16</v>
      </c>
      <c r="D907" t="s">
        <v>18</v>
      </c>
      <c r="E907" t="s">
        <v>19</v>
      </c>
      <c r="F907">
        <v>25</v>
      </c>
      <c r="G907">
        <v>0.71</v>
      </c>
      <c r="H907" t="s">
        <v>20</v>
      </c>
      <c r="I907">
        <v>44836</v>
      </c>
      <c r="J907" t="s">
        <v>21</v>
      </c>
      <c r="K907" t="s">
        <v>28</v>
      </c>
      <c r="L907">
        <v>4.05</v>
      </c>
      <c r="M907">
        <v>4.93</v>
      </c>
      <c r="N907">
        <v>3.04</v>
      </c>
      <c r="O907" t="s">
        <v>36</v>
      </c>
      <c r="P907" t="s">
        <v>32</v>
      </c>
      <c r="Q907" t="s">
        <v>29</v>
      </c>
    </row>
    <row r="908" spans="1:17" x14ac:dyDescent="0.35">
      <c r="A908">
        <v>907</v>
      </c>
      <c r="B908" t="s">
        <v>25</v>
      </c>
      <c r="C908">
        <v>15</v>
      </c>
      <c r="D908" t="s">
        <v>33</v>
      </c>
      <c r="E908" t="s">
        <v>35</v>
      </c>
      <c r="F908">
        <v>23</v>
      </c>
      <c r="G908">
        <v>0.92</v>
      </c>
      <c r="H908" t="s">
        <v>40</v>
      </c>
      <c r="I908">
        <v>15753</v>
      </c>
      <c r="J908" t="s">
        <v>28</v>
      </c>
      <c r="K908" t="s">
        <v>21</v>
      </c>
      <c r="L908">
        <v>4.93</v>
      </c>
      <c r="M908">
        <v>4.1100000000000003</v>
      </c>
      <c r="N908">
        <v>4.74</v>
      </c>
      <c r="O908" t="s">
        <v>22</v>
      </c>
      <c r="P908" t="s">
        <v>32</v>
      </c>
      <c r="Q908" t="s">
        <v>29</v>
      </c>
    </row>
    <row r="909" spans="1:17" x14ac:dyDescent="0.35">
      <c r="A909">
        <v>908</v>
      </c>
      <c r="B909" t="s">
        <v>17</v>
      </c>
      <c r="C909">
        <v>15</v>
      </c>
      <c r="D909" t="s">
        <v>41</v>
      </c>
      <c r="E909" t="s">
        <v>35</v>
      </c>
      <c r="F909">
        <v>29</v>
      </c>
      <c r="G909">
        <v>0.87</v>
      </c>
      <c r="H909" t="s">
        <v>20</v>
      </c>
      <c r="I909">
        <v>50005</v>
      </c>
      <c r="J909" t="s">
        <v>28</v>
      </c>
      <c r="K909" t="s">
        <v>21</v>
      </c>
      <c r="L909">
        <v>4.22</v>
      </c>
      <c r="M909">
        <v>4.26</v>
      </c>
      <c r="N909">
        <v>4.1100000000000003</v>
      </c>
      <c r="O909" t="s">
        <v>34</v>
      </c>
      <c r="P909" t="s">
        <v>32</v>
      </c>
      <c r="Q909" t="s">
        <v>29</v>
      </c>
    </row>
    <row r="910" spans="1:17" x14ac:dyDescent="0.35">
      <c r="A910">
        <v>909</v>
      </c>
      <c r="B910" t="s">
        <v>17</v>
      </c>
      <c r="C910">
        <v>16</v>
      </c>
      <c r="D910" t="s">
        <v>26</v>
      </c>
      <c r="E910" t="s">
        <v>35</v>
      </c>
      <c r="F910">
        <v>29</v>
      </c>
      <c r="G910">
        <v>0.67</v>
      </c>
      <c r="H910" t="s">
        <v>20</v>
      </c>
      <c r="I910">
        <v>24175</v>
      </c>
      <c r="J910" t="s">
        <v>28</v>
      </c>
      <c r="K910" t="s">
        <v>28</v>
      </c>
      <c r="L910">
        <v>4.97</v>
      </c>
      <c r="M910">
        <v>4.96</v>
      </c>
      <c r="N910">
        <v>4.22</v>
      </c>
      <c r="O910" t="s">
        <v>34</v>
      </c>
      <c r="P910" t="s">
        <v>32</v>
      </c>
      <c r="Q910" t="s">
        <v>29</v>
      </c>
    </row>
    <row r="911" spans="1:17" x14ac:dyDescent="0.35">
      <c r="A911">
        <v>910</v>
      </c>
      <c r="B911" t="s">
        <v>25</v>
      </c>
      <c r="C911">
        <v>15</v>
      </c>
      <c r="D911" t="s">
        <v>37</v>
      </c>
      <c r="E911" t="s">
        <v>35</v>
      </c>
      <c r="F911">
        <v>26</v>
      </c>
      <c r="G911">
        <v>0.6</v>
      </c>
      <c r="H911" t="s">
        <v>31</v>
      </c>
      <c r="I911">
        <v>16191</v>
      </c>
      <c r="J911" t="s">
        <v>21</v>
      </c>
      <c r="K911" t="s">
        <v>28</v>
      </c>
      <c r="L911">
        <v>4.68</v>
      </c>
      <c r="M911">
        <v>3.91</v>
      </c>
      <c r="N911">
        <v>4.8499999999999996</v>
      </c>
      <c r="O911" t="s">
        <v>22</v>
      </c>
      <c r="P911" t="s">
        <v>32</v>
      </c>
      <c r="Q911" t="s">
        <v>24</v>
      </c>
    </row>
    <row r="912" spans="1:17" x14ac:dyDescent="0.35">
      <c r="A912">
        <v>911</v>
      </c>
      <c r="B912" t="s">
        <v>17</v>
      </c>
      <c r="C912">
        <v>18</v>
      </c>
      <c r="D912" t="s">
        <v>33</v>
      </c>
      <c r="E912" t="s">
        <v>19</v>
      </c>
      <c r="F912">
        <v>21</v>
      </c>
      <c r="G912">
        <v>0.96</v>
      </c>
      <c r="H912" t="s">
        <v>31</v>
      </c>
      <c r="I912">
        <v>27898</v>
      </c>
      <c r="J912" t="s">
        <v>28</v>
      </c>
      <c r="K912" t="s">
        <v>21</v>
      </c>
      <c r="L912">
        <v>3.07</v>
      </c>
      <c r="M912">
        <v>4.6900000000000004</v>
      </c>
      <c r="N912">
        <v>4.33</v>
      </c>
      <c r="O912" t="s">
        <v>34</v>
      </c>
      <c r="P912" t="s">
        <v>32</v>
      </c>
      <c r="Q912" t="s">
        <v>24</v>
      </c>
    </row>
    <row r="913" spans="1:17" x14ac:dyDescent="0.35">
      <c r="A913">
        <v>912</v>
      </c>
      <c r="B913" t="s">
        <v>17</v>
      </c>
      <c r="C913">
        <v>16</v>
      </c>
      <c r="D913" t="s">
        <v>41</v>
      </c>
      <c r="E913" t="s">
        <v>19</v>
      </c>
      <c r="F913">
        <v>27</v>
      </c>
      <c r="G913">
        <v>0.81</v>
      </c>
      <c r="H913" t="s">
        <v>31</v>
      </c>
      <c r="I913">
        <v>28982</v>
      </c>
      <c r="J913" t="s">
        <v>21</v>
      </c>
      <c r="K913" t="s">
        <v>28</v>
      </c>
      <c r="L913">
        <v>4.32</v>
      </c>
      <c r="M913">
        <v>3.84</v>
      </c>
      <c r="N913">
        <v>4.38</v>
      </c>
      <c r="O913" t="s">
        <v>34</v>
      </c>
      <c r="P913" t="s">
        <v>32</v>
      </c>
      <c r="Q913" t="s">
        <v>24</v>
      </c>
    </row>
    <row r="914" spans="1:17" x14ac:dyDescent="0.35">
      <c r="A914">
        <v>913</v>
      </c>
      <c r="B914" t="s">
        <v>17</v>
      </c>
      <c r="C914">
        <v>16</v>
      </c>
      <c r="D914" t="s">
        <v>30</v>
      </c>
      <c r="E914" t="s">
        <v>35</v>
      </c>
      <c r="F914">
        <v>27</v>
      </c>
      <c r="G914">
        <v>0.65</v>
      </c>
      <c r="H914" t="s">
        <v>40</v>
      </c>
      <c r="I914">
        <v>24622</v>
      </c>
      <c r="J914" t="s">
        <v>28</v>
      </c>
      <c r="K914" t="s">
        <v>21</v>
      </c>
      <c r="L914">
        <v>3.57</v>
      </c>
      <c r="M914">
        <v>4.5199999999999996</v>
      </c>
      <c r="N914">
        <v>4.57</v>
      </c>
      <c r="O914" t="s">
        <v>22</v>
      </c>
      <c r="P914" t="s">
        <v>32</v>
      </c>
      <c r="Q914" t="s">
        <v>24</v>
      </c>
    </row>
    <row r="915" spans="1:17" x14ac:dyDescent="0.35">
      <c r="A915">
        <v>914</v>
      </c>
      <c r="B915" t="s">
        <v>25</v>
      </c>
      <c r="C915">
        <v>16</v>
      </c>
      <c r="D915" t="s">
        <v>26</v>
      </c>
      <c r="E915" t="s">
        <v>35</v>
      </c>
      <c r="F915">
        <v>14</v>
      </c>
      <c r="G915">
        <v>0.8</v>
      </c>
      <c r="H915" t="s">
        <v>31</v>
      </c>
      <c r="I915">
        <v>11001</v>
      </c>
      <c r="J915" t="s">
        <v>28</v>
      </c>
      <c r="K915" t="s">
        <v>21</v>
      </c>
      <c r="L915">
        <v>4.12</v>
      </c>
      <c r="M915">
        <v>3.88</v>
      </c>
      <c r="N915">
        <v>3.23</v>
      </c>
      <c r="O915" t="s">
        <v>36</v>
      </c>
      <c r="P915" t="s">
        <v>23</v>
      </c>
      <c r="Q915" t="s">
        <v>29</v>
      </c>
    </row>
    <row r="916" spans="1:17" x14ac:dyDescent="0.35">
      <c r="A916">
        <v>915</v>
      </c>
      <c r="B916" t="s">
        <v>25</v>
      </c>
      <c r="C916">
        <v>18</v>
      </c>
      <c r="D916" t="s">
        <v>41</v>
      </c>
      <c r="E916" t="s">
        <v>35</v>
      </c>
      <c r="F916">
        <v>14</v>
      </c>
      <c r="G916">
        <v>0.91</v>
      </c>
      <c r="H916" t="s">
        <v>31</v>
      </c>
      <c r="I916">
        <v>57645</v>
      </c>
      <c r="J916" t="s">
        <v>21</v>
      </c>
      <c r="K916" t="s">
        <v>21</v>
      </c>
      <c r="L916">
        <v>3.56</v>
      </c>
      <c r="M916">
        <v>4.83</v>
      </c>
      <c r="N916">
        <v>3.72</v>
      </c>
      <c r="O916" t="s">
        <v>34</v>
      </c>
      <c r="P916" t="s">
        <v>23</v>
      </c>
      <c r="Q916" t="s">
        <v>24</v>
      </c>
    </row>
    <row r="917" spans="1:17" x14ac:dyDescent="0.35">
      <c r="A917">
        <v>916</v>
      </c>
      <c r="B917" t="s">
        <v>25</v>
      </c>
      <c r="C917">
        <v>16</v>
      </c>
      <c r="D917" t="s">
        <v>41</v>
      </c>
      <c r="E917" t="s">
        <v>19</v>
      </c>
      <c r="F917">
        <v>8</v>
      </c>
      <c r="G917">
        <v>0.94</v>
      </c>
      <c r="H917" t="s">
        <v>27</v>
      </c>
      <c r="I917">
        <v>53000</v>
      </c>
      <c r="J917" t="s">
        <v>28</v>
      </c>
      <c r="K917" t="s">
        <v>28</v>
      </c>
      <c r="L917">
        <v>3.7</v>
      </c>
      <c r="M917">
        <v>4.34</v>
      </c>
      <c r="N917">
        <v>4.9400000000000004</v>
      </c>
      <c r="O917" t="s">
        <v>22</v>
      </c>
      <c r="P917" t="s">
        <v>23</v>
      </c>
      <c r="Q917" t="s">
        <v>24</v>
      </c>
    </row>
    <row r="918" spans="1:17" x14ac:dyDescent="0.35">
      <c r="A918">
        <v>917</v>
      </c>
      <c r="B918" t="s">
        <v>25</v>
      </c>
      <c r="C918">
        <v>18</v>
      </c>
      <c r="D918" t="s">
        <v>37</v>
      </c>
      <c r="E918" t="s">
        <v>19</v>
      </c>
      <c r="F918">
        <v>12</v>
      </c>
      <c r="G918">
        <v>0.74</v>
      </c>
      <c r="H918" t="s">
        <v>20</v>
      </c>
      <c r="I918">
        <v>33283</v>
      </c>
      <c r="J918" t="s">
        <v>28</v>
      </c>
      <c r="K918" t="s">
        <v>21</v>
      </c>
      <c r="L918">
        <v>4.8499999999999996</v>
      </c>
      <c r="M918">
        <v>3.78</v>
      </c>
      <c r="N918">
        <v>4.8499999999999996</v>
      </c>
      <c r="O918" t="s">
        <v>22</v>
      </c>
      <c r="P918" t="s">
        <v>23</v>
      </c>
      <c r="Q918" t="s">
        <v>38</v>
      </c>
    </row>
    <row r="919" spans="1:17" x14ac:dyDescent="0.35">
      <c r="A919">
        <v>918</v>
      </c>
      <c r="B919" t="s">
        <v>25</v>
      </c>
      <c r="C919">
        <v>16</v>
      </c>
      <c r="D919" t="s">
        <v>18</v>
      </c>
      <c r="E919" t="s">
        <v>19</v>
      </c>
      <c r="F919">
        <v>26</v>
      </c>
      <c r="G919">
        <v>0.64</v>
      </c>
      <c r="H919" t="s">
        <v>20</v>
      </c>
      <c r="I919">
        <v>31435</v>
      </c>
      <c r="J919" t="s">
        <v>28</v>
      </c>
      <c r="K919" t="s">
        <v>21</v>
      </c>
      <c r="L919">
        <v>3.41</v>
      </c>
      <c r="M919">
        <v>3.84</v>
      </c>
      <c r="N919">
        <v>4.7699999999999996</v>
      </c>
      <c r="O919" t="s">
        <v>22</v>
      </c>
      <c r="P919" t="s">
        <v>32</v>
      </c>
      <c r="Q919" t="s">
        <v>24</v>
      </c>
    </row>
    <row r="920" spans="1:17" x14ac:dyDescent="0.35">
      <c r="A920">
        <v>919</v>
      </c>
      <c r="B920" t="s">
        <v>25</v>
      </c>
      <c r="C920">
        <v>17</v>
      </c>
      <c r="D920" t="s">
        <v>33</v>
      </c>
      <c r="E920" t="s">
        <v>19</v>
      </c>
      <c r="F920">
        <v>24</v>
      </c>
      <c r="G920">
        <v>0.65</v>
      </c>
      <c r="H920" t="s">
        <v>31</v>
      </c>
      <c r="I920">
        <v>37223</v>
      </c>
      <c r="J920" t="s">
        <v>28</v>
      </c>
      <c r="K920" t="s">
        <v>28</v>
      </c>
      <c r="L920">
        <v>4.75</v>
      </c>
      <c r="M920">
        <v>4.24</v>
      </c>
      <c r="N920">
        <v>3.9</v>
      </c>
      <c r="O920" t="s">
        <v>34</v>
      </c>
      <c r="P920" t="s">
        <v>32</v>
      </c>
      <c r="Q920" t="s">
        <v>29</v>
      </c>
    </row>
    <row r="921" spans="1:17" x14ac:dyDescent="0.35">
      <c r="A921">
        <v>920</v>
      </c>
      <c r="B921" t="s">
        <v>25</v>
      </c>
      <c r="C921">
        <v>15</v>
      </c>
      <c r="D921" t="s">
        <v>30</v>
      </c>
      <c r="E921" t="s">
        <v>35</v>
      </c>
      <c r="F921">
        <v>24</v>
      </c>
      <c r="G921">
        <v>0.84</v>
      </c>
      <c r="H921" t="s">
        <v>20</v>
      </c>
      <c r="I921">
        <v>47244</v>
      </c>
      <c r="J921" t="s">
        <v>21</v>
      </c>
      <c r="K921" t="s">
        <v>28</v>
      </c>
      <c r="L921">
        <v>3.06</v>
      </c>
      <c r="M921">
        <v>4.9400000000000004</v>
      </c>
      <c r="N921">
        <v>4.71</v>
      </c>
      <c r="O921" t="s">
        <v>22</v>
      </c>
      <c r="P921" t="s">
        <v>32</v>
      </c>
      <c r="Q921" t="s">
        <v>24</v>
      </c>
    </row>
    <row r="922" spans="1:17" x14ac:dyDescent="0.35">
      <c r="A922">
        <v>921</v>
      </c>
      <c r="B922" t="s">
        <v>17</v>
      </c>
      <c r="C922">
        <v>17</v>
      </c>
      <c r="D922" t="s">
        <v>39</v>
      </c>
      <c r="E922" t="s">
        <v>35</v>
      </c>
      <c r="F922">
        <v>22</v>
      </c>
      <c r="G922">
        <v>0.99</v>
      </c>
      <c r="H922" t="s">
        <v>27</v>
      </c>
      <c r="I922">
        <v>40024</v>
      </c>
      <c r="J922" t="s">
        <v>28</v>
      </c>
      <c r="K922" t="s">
        <v>21</v>
      </c>
      <c r="L922">
        <v>3.18</v>
      </c>
      <c r="M922">
        <v>4.6500000000000004</v>
      </c>
      <c r="N922">
        <v>3.1</v>
      </c>
      <c r="O922" t="s">
        <v>36</v>
      </c>
      <c r="P922" t="s">
        <v>32</v>
      </c>
      <c r="Q922" t="s">
        <v>29</v>
      </c>
    </row>
    <row r="923" spans="1:17" x14ac:dyDescent="0.35">
      <c r="A923">
        <v>922</v>
      </c>
      <c r="B923" t="s">
        <v>17</v>
      </c>
      <c r="C923">
        <v>15</v>
      </c>
      <c r="D923" t="s">
        <v>33</v>
      </c>
      <c r="E923" t="s">
        <v>35</v>
      </c>
      <c r="F923">
        <v>18</v>
      </c>
      <c r="G923">
        <v>0.88</v>
      </c>
      <c r="H923" t="s">
        <v>27</v>
      </c>
      <c r="I923">
        <v>59630</v>
      </c>
      <c r="J923" t="s">
        <v>28</v>
      </c>
      <c r="K923" t="s">
        <v>21</v>
      </c>
      <c r="L923">
        <v>4.71</v>
      </c>
      <c r="M923">
        <v>4.2300000000000004</v>
      </c>
      <c r="N923">
        <v>3.3</v>
      </c>
      <c r="O923" t="s">
        <v>36</v>
      </c>
      <c r="P923" t="s">
        <v>32</v>
      </c>
      <c r="Q923" t="s">
        <v>29</v>
      </c>
    </row>
    <row r="924" spans="1:17" x14ac:dyDescent="0.35">
      <c r="A924">
        <v>923</v>
      </c>
      <c r="B924" t="s">
        <v>17</v>
      </c>
      <c r="C924">
        <v>18</v>
      </c>
      <c r="D924" t="s">
        <v>39</v>
      </c>
      <c r="E924" t="s">
        <v>19</v>
      </c>
      <c r="F924">
        <v>22</v>
      </c>
      <c r="G924">
        <v>0.66</v>
      </c>
      <c r="H924" t="s">
        <v>31</v>
      </c>
      <c r="I924">
        <v>40734</v>
      </c>
      <c r="J924" t="s">
        <v>21</v>
      </c>
      <c r="K924" t="s">
        <v>28</v>
      </c>
      <c r="L924">
        <v>4.26</v>
      </c>
      <c r="M924">
        <v>4.01</v>
      </c>
      <c r="N924">
        <v>3.83</v>
      </c>
      <c r="O924" t="s">
        <v>34</v>
      </c>
      <c r="P924" t="s">
        <v>32</v>
      </c>
      <c r="Q924" t="s">
        <v>29</v>
      </c>
    </row>
    <row r="925" spans="1:17" x14ac:dyDescent="0.35">
      <c r="A925">
        <v>924</v>
      </c>
      <c r="B925" t="s">
        <v>17</v>
      </c>
      <c r="C925">
        <v>17</v>
      </c>
      <c r="D925" t="s">
        <v>41</v>
      </c>
      <c r="E925" t="s">
        <v>35</v>
      </c>
      <c r="F925">
        <v>18</v>
      </c>
      <c r="G925">
        <v>0.99</v>
      </c>
      <c r="H925" t="s">
        <v>27</v>
      </c>
      <c r="I925">
        <v>10515</v>
      </c>
      <c r="J925" t="s">
        <v>28</v>
      </c>
      <c r="K925" t="s">
        <v>28</v>
      </c>
      <c r="L925">
        <v>4.49</v>
      </c>
      <c r="M925">
        <v>4.32</v>
      </c>
      <c r="N925">
        <v>3.97</v>
      </c>
      <c r="O925" t="s">
        <v>34</v>
      </c>
      <c r="P925" t="s">
        <v>32</v>
      </c>
      <c r="Q925" t="s">
        <v>29</v>
      </c>
    </row>
    <row r="926" spans="1:17" x14ac:dyDescent="0.35">
      <c r="A926">
        <v>925</v>
      </c>
      <c r="B926" t="s">
        <v>17</v>
      </c>
      <c r="C926">
        <v>16</v>
      </c>
      <c r="D926" t="s">
        <v>42</v>
      </c>
      <c r="E926" t="s">
        <v>19</v>
      </c>
      <c r="F926">
        <v>24</v>
      </c>
      <c r="G926">
        <v>0.72</v>
      </c>
      <c r="H926" t="s">
        <v>20</v>
      </c>
      <c r="I926">
        <v>55246</v>
      </c>
      <c r="J926" t="s">
        <v>28</v>
      </c>
      <c r="K926" t="s">
        <v>28</v>
      </c>
      <c r="L926">
        <v>3.42</v>
      </c>
      <c r="M926">
        <v>4.62</v>
      </c>
      <c r="N926">
        <v>3.53</v>
      </c>
      <c r="O926" t="s">
        <v>34</v>
      </c>
      <c r="P926" t="s">
        <v>32</v>
      </c>
      <c r="Q926" t="s">
        <v>24</v>
      </c>
    </row>
    <row r="927" spans="1:17" x14ac:dyDescent="0.35">
      <c r="A927">
        <v>926</v>
      </c>
      <c r="B927" t="s">
        <v>17</v>
      </c>
      <c r="C927">
        <v>15</v>
      </c>
      <c r="D927" t="s">
        <v>30</v>
      </c>
      <c r="E927" t="s">
        <v>19</v>
      </c>
      <c r="F927">
        <v>25</v>
      </c>
      <c r="G927">
        <v>0.97</v>
      </c>
      <c r="H927" t="s">
        <v>40</v>
      </c>
      <c r="I927">
        <v>11191</v>
      </c>
      <c r="J927" t="s">
        <v>28</v>
      </c>
      <c r="K927" t="s">
        <v>21</v>
      </c>
      <c r="L927">
        <v>4.07</v>
      </c>
      <c r="M927">
        <v>4.68</v>
      </c>
      <c r="N927">
        <v>3.71</v>
      </c>
      <c r="O927" t="s">
        <v>34</v>
      </c>
      <c r="P927" t="s">
        <v>32</v>
      </c>
      <c r="Q927" t="s">
        <v>29</v>
      </c>
    </row>
    <row r="928" spans="1:17" x14ac:dyDescent="0.35">
      <c r="A928">
        <v>927</v>
      </c>
      <c r="B928" t="s">
        <v>17</v>
      </c>
      <c r="C928">
        <v>15</v>
      </c>
      <c r="D928" t="s">
        <v>26</v>
      </c>
      <c r="E928" t="s">
        <v>35</v>
      </c>
      <c r="F928">
        <v>28</v>
      </c>
      <c r="G928">
        <v>0.77</v>
      </c>
      <c r="H928" t="s">
        <v>20</v>
      </c>
      <c r="I928">
        <v>42264</v>
      </c>
      <c r="J928" t="s">
        <v>28</v>
      </c>
      <c r="K928" t="s">
        <v>21</v>
      </c>
      <c r="L928">
        <v>4.47</v>
      </c>
      <c r="M928">
        <v>3.99</v>
      </c>
      <c r="N928">
        <v>3.33</v>
      </c>
      <c r="O928" t="s">
        <v>36</v>
      </c>
      <c r="P928" t="s">
        <v>32</v>
      </c>
      <c r="Q928" t="s">
        <v>29</v>
      </c>
    </row>
    <row r="929" spans="1:17" x14ac:dyDescent="0.35">
      <c r="A929">
        <v>928</v>
      </c>
      <c r="B929" t="s">
        <v>25</v>
      </c>
      <c r="C929">
        <v>17</v>
      </c>
      <c r="D929" t="s">
        <v>42</v>
      </c>
      <c r="E929" t="s">
        <v>35</v>
      </c>
      <c r="F929">
        <v>19</v>
      </c>
      <c r="G929">
        <v>0.61</v>
      </c>
      <c r="H929" t="s">
        <v>40</v>
      </c>
      <c r="I929">
        <v>53628</v>
      </c>
      <c r="J929" t="s">
        <v>21</v>
      </c>
      <c r="K929" t="s">
        <v>21</v>
      </c>
      <c r="L929">
        <v>4.25</v>
      </c>
      <c r="M929">
        <v>4.58</v>
      </c>
      <c r="N929">
        <v>3.98</v>
      </c>
      <c r="O929" t="s">
        <v>34</v>
      </c>
      <c r="P929" t="s">
        <v>32</v>
      </c>
      <c r="Q929" t="s">
        <v>29</v>
      </c>
    </row>
    <row r="930" spans="1:17" x14ac:dyDescent="0.35">
      <c r="A930">
        <v>929</v>
      </c>
      <c r="B930" t="s">
        <v>25</v>
      </c>
      <c r="C930">
        <v>18</v>
      </c>
      <c r="D930" t="s">
        <v>42</v>
      </c>
      <c r="E930" t="s">
        <v>35</v>
      </c>
      <c r="F930">
        <v>26</v>
      </c>
      <c r="G930">
        <v>0.67</v>
      </c>
      <c r="H930" t="s">
        <v>31</v>
      </c>
      <c r="I930">
        <v>56216</v>
      </c>
      <c r="J930" t="s">
        <v>28</v>
      </c>
      <c r="K930" t="s">
        <v>28</v>
      </c>
      <c r="L930">
        <v>3.94</v>
      </c>
      <c r="M930">
        <v>4.49</v>
      </c>
      <c r="N930">
        <v>4.59</v>
      </c>
      <c r="O930" t="s">
        <v>22</v>
      </c>
      <c r="P930" t="s">
        <v>32</v>
      </c>
      <c r="Q930" t="s">
        <v>24</v>
      </c>
    </row>
    <row r="931" spans="1:17" x14ac:dyDescent="0.35">
      <c r="A931">
        <v>930</v>
      </c>
      <c r="B931" t="s">
        <v>17</v>
      </c>
      <c r="C931">
        <v>17</v>
      </c>
      <c r="D931" t="s">
        <v>33</v>
      </c>
      <c r="E931" t="s">
        <v>19</v>
      </c>
      <c r="F931">
        <v>8</v>
      </c>
      <c r="G931">
        <v>0.7</v>
      </c>
      <c r="H931" t="s">
        <v>40</v>
      </c>
      <c r="I931">
        <v>16297</v>
      </c>
      <c r="J931" t="s">
        <v>21</v>
      </c>
      <c r="K931" t="s">
        <v>21</v>
      </c>
      <c r="L931">
        <v>4.92</v>
      </c>
      <c r="M931">
        <v>4.9400000000000004</v>
      </c>
      <c r="N931">
        <v>4.32</v>
      </c>
      <c r="O931" t="s">
        <v>34</v>
      </c>
      <c r="P931" t="s">
        <v>23</v>
      </c>
      <c r="Q931" t="s">
        <v>29</v>
      </c>
    </row>
    <row r="932" spans="1:17" x14ac:dyDescent="0.35">
      <c r="A932">
        <v>931</v>
      </c>
      <c r="B932" t="s">
        <v>17</v>
      </c>
      <c r="C932">
        <v>18</v>
      </c>
      <c r="D932" t="s">
        <v>30</v>
      </c>
      <c r="E932" t="s">
        <v>19</v>
      </c>
      <c r="F932">
        <v>17</v>
      </c>
      <c r="G932">
        <v>0.92</v>
      </c>
      <c r="H932" t="s">
        <v>27</v>
      </c>
      <c r="I932">
        <v>37856</v>
      </c>
      <c r="J932" t="s">
        <v>28</v>
      </c>
      <c r="K932" t="s">
        <v>28</v>
      </c>
      <c r="L932">
        <v>4.3499999999999996</v>
      </c>
      <c r="M932">
        <v>4.9000000000000004</v>
      </c>
      <c r="N932">
        <v>3.22</v>
      </c>
      <c r="O932" t="s">
        <v>36</v>
      </c>
      <c r="P932" t="s">
        <v>32</v>
      </c>
      <c r="Q932" t="s">
        <v>29</v>
      </c>
    </row>
    <row r="933" spans="1:17" x14ac:dyDescent="0.35">
      <c r="A933">
        <v>932</v>
      </c>
      <c r="B933" t="s">
        <v>25</v>
      </c>
      <c r="C933">
        <v>18</v>
      </c>
      <c r="D933" t="s">
        <v>18</v>
      </c>
      <c r="E933" t="s">
        <v>35</v>
      </c>
      <c r="F933">
        <v>27</v>
      </c>
      <c r="G933">
        <v>0.97</v>
      </c>
      <c r="H933" t="s">
        <v>20</v>
      </c>
      <c r="I933">
        <v>59423</v>
      </c>
      <c r="J933" t="s">
        <v>28</v>
      </c>
      <c r="K933" t="s">
        <v>21</v>
      </c>
      <c r="L933">
        <v>4.82</v>
      </c>
      <c r="M933">
        <v>4.68</v>
      </c>
      <c r="N933">
        <v>3.98</v>
      </c>
      <c r="O933" t="s">
        <v>34</v>
      </c>
      <c r="P933" t="s">
        <v>32</v>
      </c>
      <c r="Q933" t="s">
        <v>29</v>
      </c>
    </row>
    <row r="934" spans="1:17" x14ac:dyDescent="0.35">
      <c r="A934">
        <v>933</v>
      </c>
      <c r="B934" t="s">
        <v>17</v>
      </c>
      <c r="C934">
        <v>15</v>
      </c>
      <c r="D934" t="s">
        <v>41</v>
      </c>
      <c r="E934" t="s">
        <v>35</v>
      </c>
      <c r="F934">
        <v>12</v>
      </c>
      <c r="G934">
        <v>0.86</v>
      </c>
      <c r="H934" t="s">
        <v>40</v>
      </c>
      <c r="I934">
        <v>18334</v>
      </c>
      <c r="J934" t="s">
        <v>28</v>
      </c>
      <c r="K934" t="s">
        <v>28</v>
      </c>
      <c r="L934">
        <v>4.46</v>
      </c>
      <c r="M934">
        <v>4.59</v>
      </c>
      <c r="N934">
        <v>4.4000000000000004</v>
      </c>
      <c r="O934" t="s">
        <v>34</v>
      </c>
      <c r="P934" t="s">
        <v>23</v>
      </c>
      <c r="Q934" t="s">
        <v>29</v>
      </c>
    </row>
    <row r="935" spans="1:17" x14ac:dyDescent="0.35">
      <c r="A935">
        <v>934</v>
      </c>
      <c r="B935" t="s">
        <v>17</v>
      </c>
      <c r="C935">
        <v>17</v>
      </c>
      <c r="D935" t="s">
        <v>41</v>
      </c>
      <c r="E935" t="s">
        <v>19</v>
      </c>
      <c r="F935">
        <v>22</v>
      </c>
      <c r="G935">
        <v>0.79</v>
      </c>
      <c r="H935" t="s">
        <v>20</v>
      </c>
      <c r="I935">
        <v>34162</v>
      </c>
      <c r="J935" t="s">
        <v>21</v>
      </c>
      <c r="K935" t="s">
        <v>21</v>
      </c>
      <c r="L935">
        <v>4.47</v>
      </c>
      <c r="M935">
        <v>3.91</v>
      </c>
      <c r="N935">
        <v>4.0599999999999996</v>
      </c>
      <c r="O935" t="s">
        <v>34</v>
      </c>
      <c r="P935" t="s">
        <v>32</v>
      </c>
      <c r="Q935" t="s">
        <v>29</v>
      </c>
    </row>
    <row r="936" spans="1:17" x14ac:dyDescent="0.35">
      <c r="A936">
        <v>935</v>
      </c>
      <c r="B936" t="s">
        <v>25</v>
      </c>
      <c r="C936">
        <v>17</v>
      </c>
      <c r="D936" t="s">
        <v>41</v>
      </c>
      <c r="E936" t="s">
        <v>35</v>
      </c>
      <c r="F936">
        <v>16</v>
      </c>
      <c r="G936">
        <v>0.71</v>
      </c>
      <c r="H936" t="s">
        <v>31</v>
      </c>
      <c r="I936">
        <v>16008</v>
      </c>
      <c r="J936" t="s">
        <v>28</v>
      </c>
      <c r="K936" t="s">
        <v>21</v>
      </c>
      <c r="L936">
        <v>3.16</v>
      </c>
      <c r="M936">
        <v>4.7699999999999996</v>
      </c>
      <c r="N936">
        <v>3.78</v>
      </c>
      <c r="O936" t="s">
        <v>34</v>
      </c>
      <c r="P936" t="s">
        <v>32</v>
      </c>
      <c r="Q936" t="s">
        <v>24</v>
      </c>
    </row>
    <row r="937" spans="1:17" x14ac:dyDescent="0.35">
      <c r="A937">
        <v>936</v>
      </c>
      <c r="B937" t="s">
        <v>17</v>
      </c>
      <c r="C937">
        <v>18</v>
      </c>
      <c r="D937" t="s">
        <v>41</v>
      </c>
      <c r="E937" t="s">
        <v>19</v>
      </c>
      <c r="F937">
        <v>27</v>
      </c>
      <c r="G937">
        <v>0.9</v>
      </c>
      <c r="H937" t="s">
        <v>31</v>
      </c>
      <c r="I937">
        <v>17987</v>
      </c>
      <c r="J937" t="s">
        <v>28</v>
      </c>
      <c r="K937" t="s">
        <v>28</v>
      </c>
      <c r="L937">
        <v>3.72</v>
      </c>
      <c r="M937">
        <v>4.1399999999999997</v>
      </c>
      <c r="N937">
        <v>4.24</v>
      </c>
      <c r="O937" t="s">
        <v>34</v>
      </c>
      <c r="P937" t="s">
        <v>32</v>
      </c>
      <c r="Q937" t="s">
        <v>24</v>
      </c>
    </row>
    <row r="938" spans="1:17" x14ac:dyDescent="0.35">
      <c r="A938">
        <v>937</v>
      </c>
      <c r="B938" t="s">
        <v>25</v>
      </c>
      <c r="C938">
        <v>17</v>
      </c>
      <c r="D938" t="s">
        <v>33</v>
      </c>
      <c r="E938" t="s">
        <v>19</v>
      </c>
      <c r="F938">
        <v>18</v>
      </c>
      <c r="G938">
        <v>0.86</v>
      </c>
      <c r="H938" t="s">
        <v>27</v>
      </c>
      <c r="I938">
        <v>40966</v>
      </c>
      <c r="J938" t="s">
        <v>21</v>
      </c>
      <c r="K938" t="s">
        <v>28</v>
      </c>
      <c r="L938">
        <v>4.72</v>
      </c>
      <c r="M938">
        <v>3.91</v>
      </c>
      <c r="N938">
        <v>4.9400000000000004</v>
      </c>
      <c r="O938" t="s">
        <v>22</v>
      </c>
      <c r="P938" t="s">
        <v>32</v>
      </c>
      <c r="Q938" t="s">
        <v>24</v>
      </c>
    </row>
    <row r="939" spans="1:17" x14ac:dyDescent="0.35">
      <c r="A939">
        <v>938</v>
      </c>
      <c r="B939" t="s">
        <v>17</v>
      </c>
      <c r="C939">
        <v>16</v>
      </c>
      <c r="D939" t="s">
        <v>39</v>
      </c>
      <c r="E939" t="s">
        <v>35</v>
      </c>
      <c r="F939">
        <v>6</v>
      </c>
      <c r="G939">
        <v>0.91</v>
      </c>
      <c r="H939" t="s">
        <v>31</v>
      </c>
      <c r="I939">
        <v>13332</v>
      </c>
      <c r="J939" t="s">
        <v>21</v>
      </c>
      <c r="K939" t="s">
        <v>21</v>
      </c>
      <c r="L939">
        <v>3.47</v>
      </c>
      <c r="M939">
        <v>4.08</v>
      </c>
      <c r="N939">
        <v>3.19</v>
      </c>
      <c r="O939" t="s">
        <v>36</v>
      </c>
      <c r="P939" t="s">
        <v>23</v>
      </c>
      <c r="Q939" t="s">
        <v>29</v>
      </c>
    </row>
    <row r="940" spans="1:17" x14ac:dyDescent="0.35">
      <c r="A940">
        <v>939</v>
      </c>
      <c r="B940" t="s">
        <v>25</v>
      </c>
      <c r="C940">
        <v>16</v>
      </c>
      <c r="D940" t="s">
        <v>41</v>
      </c>
      <c r="E940" t="s">
        <v>35</v>
      </c>
      <c r="F940">
        <v>22</v>
      </c>
      <c r="G940">
        <v>0.69</v>
      </c>
      <c r="H940" t="s">
        <v>40</v>
      </c>
      <c r="I940">
        <v>10787</v>
      </c>
      <c r="J940" t="s">
        <v>21</v>
      </c>
      <c r="K940" t="s">
        <v>28</v>
      </c>
      <c r="L940">
        <v>3.23</v>
      </c>
      <c r="M940">
        <v>4.75</v>
      </c>
      <c r="N940">
        <v>3.78</v>
      </c>
      <c r="O940" t="s">
        <v>34</v>
      </c>
      <c r="P940" t="s">
        <v>32</v>
      </c>
      <c r="Q940" t="s">
        <v>24</v>
      </c>
    </row>
    <row r="941" spans="1:17" x14ac:dyDescent="0.35">
      <c r="A941">
        <v>940</v>
      </c>
      <c r="B941" t="s">
        <v>25</v>
      </c>
      <c r="C941">
        <v>17</v>
      </c>
      <c r="D941" t="s">
        <v>39</v>
      </c>
      <c r="E941" t="s">
        <v>35</v>
      </c>
      <c r="F941">
        <v>28</v>
      </c>
      <c r="G941">
        <v>0.62</v>
      </c>
      <c r="H941" t="s">
        <v>31</v>
      </c>
      <c r="I941">
        <v>48990</v>
      </c>
      <c r="J941" t="s">
        <v>21</v>
      </c>
      <c r="K941" t="s">
        <v>28</v>
      </c>
      <c r="L941">
        <v>3.65</v>
      </c>
      <c r="M941">
        <v>3.72</v>
      </c>
      <c r="N941">
        <v>3.81</v>
      </c>
      <c r="O941" t="s">
        <v>34</v>
      </c>
      <c r="P941" t="s">
        <v>32</v>
      </c>
      <c r="Q941" t="s">
        <v>24</v>
      </c>
    </row>
    <row r="942" spans="1:17" x14ac:dyDescent="0.35">
      <c r="A942">
        <v>941</v>
      </c>
      <c r="B942" t="s">
        <v>25</v>
      </c>
      <c r="C942">
        <v>17</v>
      </c>
      <c r="D942" t="s">
        <v>39</v>
      </c>
      <c r="E942" t="s">
        <v>35</v>
      </c>
      <c r="F942">
        <v>6</v>
      </c>
      <c r="G942">
        <v>0.86</v>
      </c>
      <c r="H942" t="s">
        <v>27</v>
      </c>
      <c r="I942">
        <v>19873</v>
      </c>
      <c r="J942" t="s">
        <v>28</v>
      </c>
      <c r="K942" t="s">
        <v>21</v>
      </c>
      <c r="L942">
        <v>3.44</v>
      </c>
      <c r="M942">
        <v>4.18</v>
      </c>
      <c r="N942">
        <v>4.1500000000000004</v>
      </c>
      <c r="O942" t="s">
        <v>34</v>
      </c>
      <c r="P942" t="s">
        <v>23</v>
      </c>
      <c r="Q942" t="s">
        <v>24</v>
      </c>
    </row>
    <row r="943" spans="1:17" x14ac:dyDescent="0.35">
      <c r="A943">
        <v>942</v>
      </c>
      <c r="B943" t="s">
        <v>17</v>
      </c>
      <c r="C943">
        <v>18</v>
      </c>
      <c r="D943" t="s">
        <v>18</v>
      </c>
      <c r="E943" t="s">
        <v>19</v>
      </c>
      <c r="F943">
        <v>15</v>
      </c>
      <c r="G943">
        <v>0.94</v>
      </c>
      <c r="H943" t="s">
        <v>20</v>
      </c>
      <c r="I943">
        <v>27006</v>
      </c>
      <c r="J943" t="s">
        <v>28</v>
      </c>
      <c r="K943" t="s">
        <v>28</v>
      </c>
      <c r="L943">
        <v>4.8499999999999996</v>
      </c>
      <c r="M943">
        <v>4.24</v>
      </c>
      <c r="N943">
        <v>3.3</v>
      </c>
      <c r="O943" t="s">
        <v>36</v>
      </c>
      <c r="P943" t="s">
        <v>32</v>
      </c>
      <c r="Q943" t="s">
        <v>29</v>
      </c>
    </row>
    <row r="944" spans="1:17" x14ac:dyDescent="0.35">
      <c r="A944">
        <v>943</v>
      </c>
      <c r="B944" t="s">
        <v>25</v>
      </c>
      <c r="C944">
        <v>16</v>
      </c>
      <c r="D944" t="s">
        <v>41</v>
      </c>
      <c r="E944" t="s">
        <v>19</v>
      </c>
      <c r="F944">
        <v>13</v>
      </c>
      <c r="G944">
        <v>0.9</v>
      </c>
      <c r="H944" t="s">
        <v>20</v>
      </c>
      <c r="I944">
        <v>30225</v>
      </c>
      <c r="J944" t="s">
        <v>28</v>
      </c>
      <c r="K944" t="s">
        <v>21</v>
      </c>
      <c r="L944">
        <v>4.74</v>
      </c>
      <c r="M944">
        <v>3.55</v>
      </c>
      <c r="N944">
        <v>3.35</v>
      </c>
      <c r="O944" t="s">
        <v>36</v>
      </c>
      <c r="P944" t="s">
        <v>23</v>
      </c>
      <c r="Q944" t="s">
        <v>29</v>
      </c>
    </row>
    <row r="945" spans="1:17" x14ac:dyDescent="0.35">
      <c r="A945">
        <v>944</v>
      </c>
      <c r="B945" t="s">
        <v>17</v>
      </c>
      <c r="C945">
        <v>16</v>
      </c>
      <c r="D945" t="s">
        <v>37</v>
      </c>
      <c r="E945" t="s">
        <v>19</v>
      </c>
      <c r="F945">
        <v>16</v>
      </c>
      <c r="G945">
        <v>0.74</v>
      </c>
      <c r="H945" t="s">
        <v>31</v>
      </c>
      <c r="I945">
        <v>46444</v>
      </c>
      <c r="J945" t="s">
        <v>28</v>
      </c>
      <c r="K945" t="s">
        <v>21</v>
      </c>
      <c r="L945">
        <v>4</v>
      </c>
      <c r="M945">
        <v>3.79</v>
      </c>
      <c r="N945">
        <v>3.57</v>
      </c>
      <c r="O945" t="s">
        <v>34</v>
      </c>
      <c r="P945" t="s">
        <v>32</v>
      </c>
      <c r="Q945" t="s">
        <v>29</v>
      </c>
    </row>
    <row r="946" spans="1:17" x14ac:dyDescent="0.35">
      <c r="A946">
        <v>945</v>
      </c>
      <c r="B946" t="s">
        <v>17</v>
      </c>
      <c r="C946">
        <v>15</v>
      </c>
      <c r="D946" t="s">
        <v>26</v>
      </c>
      <c r="E946" t="s">
        <v>35</v>
      </c>
      <c r="F946">
        <v>21</v>
      </c>
      <c r="G946">
        <v>0.75</v>
      </c>
      <c r="H946" t="s">
        <v>40</v>
      </c>
      <c r="I946">
        <v>45340</v>
      </c>
      <c r="J946" t="s">
        <v>21</v>
      </c>
      <c r="K946" t="s">
        <v>28</v>
      </c>
      <c r="L946">
        <v>3.12</v>
      </c>
      <c r="M946">
        <v>4.74</v>
      </c>
      <c r="N946">
        <v>4.91</v>
      </c>
      <c r="O946" t="s">
        <v>22</v>
      </c>
      <c r="P946" t="s">
        <v>32</v>
      </c>
      <c r="Q946" t="s">
        <v>24</v>
      </c>
    </row>
    <row r="947" spans="1:17" x14ac:dyDescent="0.35">
      <c r="A947">
        <v>946</v>
      </c>
      <c r="B947" t="s">
        <v>17</v>
      </c>
      <c r="C947">
        <v>18</v>
      </c>
      <c r="D947" t="s">
        <v>42</v>
      </c>
      <c r="E947" t="s">
        <v>19</v>
      </c>
      <c r="F947">
        <v>19</v>
      </c>
      <c r="G947">
        <v>0.72</v>
      </c>
      <c r="H947" t="s">
        <v>27</v>
      </c>
      <c r="I947">
        <v>49683</v>
      </c>
      <c r="J947" t="s">
        <v>28</v>
      </c>
      <c r="K947" t="s">
        <v>28</v>
      </c>
      <c r="L947">
        <v>4.43</v>
      </c>
      <c r="M947">
        <v>4.75</v>
      </c>
      <c r="N947">
        <v>4.47</v>
      </c>
      <c r="O947" t="s">
        <v>34</v>
      </c>
      <c r="P947" t="s">
        <v>32</v>
      </c>
      <c r="Q947" t="s">
        <v>24</v>
      </c>
    </row>
    <row r="948" spans="1:17" x14ac:dyDescent="0.35">
      <c r="A948">
        <v>947</v>
      </c>
      <c r="B948" t="s">
        <v>17</v>
      </c>
      <c r="C948">
        <v>15</v>
      </c>
      <c r="D948" t="s">
        <v>39</v>
      </c>
      <c r="E948" t="s">
        <v>35</v>
      </c>
      <c r="F948">
        <v>29</v>
      </c>
      <c r="G948">
        <v>0.94</v>
      </c>
      <c r="H948" t="s">
        <v>40</v>
      </c>
      <c r="I948">
        <v>15033</v>
      </c>
      <c r="J948" t="s">
        <v>28</v>
      </c>
      <c r="K948" t="s">
        <v>21</v>
      </c>
      <c r="L948">
        <v>4.25</v>
      </c>
      <c r="M948">
        <v>3.94</v>
      </c>
      <c r="N948">
        <v>4.32</v>
      </c>
      <c r="O948" t="s">
        <v>34</v>
      </c>
      <c r="P948" t="s">
        <v>32</v>
      </c>
      <c r="Q948" t="s">
        <v>24</v>
      </c>
    </row>
    <row r="949" spans="1:17" x14ac:dyDescent="0.35">
      <c r="A949">
        <v>948</v>
      </c>
      <c r="B949" t="s">
        <v>25</v>
      </c>
      <c r="C949">
        <v>16</v>
      </c>
      <c r="D949" t="s">
        <v>30</v>
      </c>
      <c r="E949" t="s">
        <v>35</v>
      </c>
      <c r="F949">
        <v>21</v>
      </c>
      <c r="G949">
        <v>0.7</v>
      </c>
      <c r="H949" t="s">
        <v>27</v>
      </c>
      <c r="I949">
        <v>17788</v>
      </c>
      <c r="J949" t="s">
        <v>28</v>
      </c>
      <c r="K949" t="s">
        <v>21</v>
      </c>
      <c r="L949">
        <v>4.9400000000000004</v>
      </c>
      <c r="M949">
        <v>4.8099999999999996</v>
      </c>
      <c r="N949">
        <v>4.63</v>
      </c>
      <c r="O949" t="s">
        <v>22</v>
      </c>
      <c r="P949" t="s">
        <v>32</v>
      </c>
      <c r="Q949" t="s">
        <v>29</v>
      </c>
    </row>
    <row r="950" spans="1:17" x14ac:dyDescent="0.35">
      <c r="A950">
        <v>949</v>
      </c>
      <c r="B950" t="s">
        <v>25</v>
      </c>
      <c r="C950">
        <v>18</v>
      </c>
      <c r="D950" t="s">
        <v>30</v>
      </c>
      <c r="E950" t="s">
        <v>35</v>
      </c>
      <c r="F950">
        <v>22</v>
      </c>
      <c r="G950">
        <v>0.8</v>
      </c>
      <c r="H950" t="s">
        <v>31</v>
      </c>
      <c r="I950">
        <v>25689</v>
      </c>
      <c r="J950" t="s">
        <v>28</v>
      </c>
      <c r="K950" t="s">
        <v>21</v>
      </c>
      <c r="L950">
        <v>4.12</v>
      </c>
      <c r="M950">
        <v>4.66</v>
      </c>
      <c r="N950">
        <v>3.26</v>
      </c>
      <c r="O950" t="s">
        <v>36</v>
      </c>
      <c r="P950" t="s">
        <v>32</v>
      </c>
      <c r="Q950" t="s">
        <v>29</v>
      </c>
    </row>
    <row r="951" spans="1:17" x14ac:dyDescent="0.35">
      <c r="A951">
        <v>950</v>
      </c>
      <c r="B951" t="s">
        <v>17</v>
      </c>
      <c r="C951">
        <v>17</v>
      </c>
      <c r="D951" t="s">
        <v>26</v>
      </c>
      <c r="E951" t="s">
        <v>35</v>
      </c>
      <c r="F951">
        <v>26</v>
      </c>
      <c r="G951">
        <v>0.7</v>
      </c>
      <c r="H951" t="s">
        <v>27</v>
      </c>
      <c r="I951">
        <v>54220</v>
      </c>
      <c r="J951" t="s">
        <v>21</v>
      </c>
      <c r="K951" t="s">
        <v>21</v>
      </c>
      <c r="L951">
        <v>3.67</v>
      </c>
      <c r="M951">
        <v>4.13</v>
      </c>
      <c r="N951">
        <v>4.72</v>
      </c>
      <c r="O951" t="s">
        <v>22</v>
      </c>
      <c r="P951" t="s">
        <v>32</v>
      </c>
      <c r="Q951" t="s">
        <v>24</v>
      </c>
    </row>
    <row r="952" spans="1:17" x14ac:dyDescent="0.35">
      <c r="A952">
        <v>951</v>
      </c>
      <c r="B952" t="s">
        <v>17</v>
      </c>
      <c r="C952">
        <v>18</v>
      </c>
      <c r="D952" t="s">
        <v>30</v>
      </c>
      <c r="E952" t="s">
        <v>35</v>
      </c>
      <c r="F952">
        <v>10</v>
      </c>
      <c r="G952">
        <v>0.89</v>
      </c>
      <c r="H952" t="s">
        <v>27</v>
      </c>
      <c r="I952">
        <v>31598</v>
      </c>
      <c r="J952" t="s">
        <v>28</v>
      </c>
      <c r="K952" t="s">
        <v>21</v>
      </c>
      <c r="L952">
        <v>4.04</v>
      </c>
      <c r="M952">
        <v>4.62</v>
      </c>
      <c r="N952">
        <v>4.1900000000000004</v>
      </c>
      <c r="O952" t="s">
        <v>34</v>
      </c>
      <c r="P952" t="s">
        <v>23</v>
      </c>
      <c r="Q952" t="s">
        <v>24</v>
      </c>
    </row>
    <row r="953" spans="1:17" x14ac:dyDescent="0.35">
      <c r="A953">
        <v>952</v>
      </c>
      <c r="B953" t="s">
        <v>25</v>
      </c>
      <c r="C953">
        <v>17</v>
      </c>
      <c r="D953" t="s">
        <v>37</v>
      </c>
      <c r="E953" t="s">
        <v>35</v>
      </c>
      <c r="F953">
        <v>21</v>
      </c>
      <c r="G953">
        <v>0.94</v>
      </c>
      <c r="H953" t="s">
        <v>31</v>
      </c>
      <c r="I953">
        <v>47480</v>
      </c>
      <c r="J953" t="s">
        <v>28</v>
      </c>
      <c r="K953" t="s">
        <v>21</v>
      </c>
      <c r="L953">
        <v>4.96</v>
      </c>
      <c r="M953">
        <v>4.9400000000000004</v>
      </c>
      <c r="N953">
        <v>3.67</v>
      </c>
      <c r="O953" t="s">
        <v>34</v>
      </c>
      <c r="P953" t="s">
        <v>32</v>
      </c>
      <c r="Q953" t="s">
        <v>29</v>
      </c>
    </row>
    <row r="954" spans="1:17" x14ac:dyDescent="0.35">
      <c r="A954">
        <v>953</v>
      </c>
      <c r="B954" t="s">
        <v>17</v>
      </c>
      <c r="C954">
        <v>17</v>
      </c>
      <c r="D954" t="s">
        <v>30</v>
      </c>
      <c r="E954" t="s">
        <v>19</v>
      </c>
      <c r="F954">
        <v>27</v>
      </c>
      <c r="G954">
        <v>0.81</v>
      </c>
      <c r="H954" t="s">
        <v>40</v>
      </c>
      <c r="I954">
        <v>39703</v>
      </c>
      <c r="J954" t="s">
        <v>28</v>
      </c>
      <c r="K954" t="s">
        <v>28</v>
      </c>
      <c r="L954">
        <v>4.3899999999999997</v>
      </c>
      <c r="M954">
        <v>4.1900000000000004</v>
      </c>
      <c r="N954">
        <v>4.63</v>
      </c>
      <c r="O954" t="s">
        <v>22</v>
      </c>
      <c r="P954" t="s">
        <v>32</v>
      </c>
      <c r="Q954" t="s">
        <v>24</v>
      </c>
    </row>
    <row r="955" spans="1:17" x14ac:dyDescent="0.35">
      <c r="A955">
        <v>954</v>
      </c>
      <c r="B955" t="s">
        <v>25</v>
      </c>
      <c r="C955">
        <v>18</v>
      </c>
      <c r="D955" t="s">
        <v>42</v>
      </c>
      <c r="E955" t="s">
        <v>35</v>
      </c>
      <c r="F955">
        <v>28</v>
      </c>
      <c r="G955">
        <v>0.97</v>
      </c>
      <c r="H955" t="s">
        <v>31</v>
      </c>
      <c r="I955">
        <v>10066</v>
      </c>
      <c r="J955" t="s">
        <v>21</v>
      </c>
      <c r="K955" t="s">
        <v>28</v>
      </c>
      <c r="L955">
        <v>4.34</v>
      </c>
      <c r="M955">
        <v>3.86</v>
      </c>
      <c r="N955">
        <v>4.6100000000000003</v>
      </c>
      <c r="O955" t="s">
        <v>22</v>
      </c>
      <c r="P955" t="s">
        <v>32</v>
      </c>
      <c r="Q955" t="s">
        <v>24</v>
      </c>
    </row>
    <row r="956" spans="1:17" x14ac:dyDescent="0.35">
      <c r="A956">
        <v>955</v>
      </c>
      <c r="B956" t="s">
        <v>17</v>
      </c>
      <c r="C956">
        <v>17</v>
      </c>
      <c r="D956" t="s">
        <v>42</v>
      </c>
      <c r="E956" t="s">
        <v>19</v>
      </c>
      <c r="F956">
        <v>22</v>
      </c>
      <c r="G956">
        <v>0.9</v>
      </c>
      <c r="H956" t="s">
        <v>27</v>
      </c>
      <c r="I956">
        <v>58623</v>
      </c>
      <c r="J956" t="s">
        <v>21</v>
      </c>
      <c r="K956" t="s">
        <v>28</v>
      </c>
      <c r="L956">
        <v>3.48</v>
      </c>
      <c r="M956">
        <v>4.91</v>
      </c>
      <c r="N956">
        <v>4.6900000000000004</v>
      </c>
      <c r="O956" t="s">
        <v>22</v>
      </c>
      <c r="P956" t="s">
        <v>32</v>
      </c>
      <c r="Q956" t="s">
        <v>24</v>
      </c>
    </row>
    <row r="957" spans="1:17" x14ac:dyDescent="0.35">
      <c r="A957">
        <v>956</v>
      </c>
      <c r="B957" t="s">
        <v>17</v>
      </c>
      <c r="C957">
        <v>15</v>
      </c>
      <c r="D957" t="s">
        <v>39</v>
      </c>
      <c r="E957" t="s">
        <v>19</v>
      </c>
      <c r="F957">
        <v>12</v>
      </c>
      <c r="G957">
        <v>0.73</v>
      </c>
      <c r="H957" t="s">
        <v>31</v>
      </c>
      <c r="I957">
        <v>55246</v>
      </c>
      <c r="J957" t="s">
        <v>28</v>
      </c>
      <c r="K957" t="s">
        <v>21</v>
      </c>
      <c r="L957">
        <v>4.49</v>
      </c>
      <c r="M957">
        <v>4.41</v>
      </c>
      <c r="N957">
        <v>3.23</v>
      </c>
      <c r="O957" t="s">
        <v>36</v>
      </c>
      <c r="P957" t="s">
        <v>23</v>
      </c>
      <c r="Q957" t="s">
        <v>29</v>
      </c>
    </row>
    <row r="958" spans="1:17" x14ac:dyDescent="0.35">
      <c r="A958">
        <v>957</v>
      </c>
      <c r="B958" t="s">
        <v>25</v>
      </c>
      <c r="C958">
        <v>16</v>
      </c>
      <c r="D958" t="s">
        <v>41</v>
      </c>
      <c r="E958" t="s">
        <v>35</v>
      </c>
      <c r="F958">
        <v>13</v>
      </c>
      <c r="G958">
        <v>0.83</v>
      </c>
      <c r="H958" t="s">
        <v>27</v>
      </c>
      <c r="I958">
        <v>17533</v>
      </c>
      <c r="J958" t="s">
        <v>28</v>
      </c>
      <c r="K958" t="s">
        <v>28</v>
      </c>
      <c r="L958">
        <v>4.5</v>
      </c>
      <c r="M958">
        <v>3.66</v>
      </c>
      <c r="N958">
        <v>4.9400000000000004</v>
      </c>
      <c r="O958" t="s">
        <v>22</v>
      </c>
      <c r="P958" t="s">
        <v>23</v>
      </c>
      <c r="Q958" t="s">
        <v>24</v>
      </c>
    </row>
    <row r="959" spans="1:17" x14ac:dyDescent="0.35">
      <c r="A959">
        <v>958</v>
      </c>
      <c r="B959" t="s">
        <v>17</v>
      </c>
      <c r="C959">
        <v>17</v>
      </c>
      <c r="D959" t="s">
        <v>18</v>
      </c>
      <c r="E959" t="s">
        <v>35</v>
      </c>
      <c r="F959">
        <v>10</v>
      </c>
      <c r="G959">
        <v>0.91</v>
      </c>
      <c r="H959" t="s">
        <v>31</v>
      </c>
      <c r="I959">
        <v>25103</v>
      </c>
      <c r="J959" t="s">
        <v>28</v>
      </c>
      <c r="K959" t="s">
        <v>21</v>
      </c>
      <c r="L959">
        <v>3.63</v>
      </c>
      <c r="M959">
        <v>4.3600000000000003</v>
      </c>
      <c r="N959">
        <v>4.92</v>
      </c>
      <c r="O959" t="s">
        <v>22</v>
      </c>
      <c r="P959" t="s">
        <v>23</v>
      </c>
      <c r="Q959" t="s">
        <v>24</v>
      </c>
    </row>
    <row r="960" spans="1:17" x14ac:dyDescent="0.35">
      <c r="A960">
        <v>959</v>
      </c>
      <c r="B960" t="s">
        <v>25</v>
      </c>
      <c r="C960">
        <v>15</v>
      </c>
      <c r="D960" t="s">
        <v>37</v>
      </c>
      <c r="E960" t="s">
        <v>35</v>
      </c>
      <c r="F960">
        <v>9</v>
      </c>
      <c r="G960">
        <v>0.95</v>
      </c>
      <c r="H960" t="s">
        <v>20</v>
      </c>
      <c r="I960">
        <v>14616</v>
      </c>
      <c r="J960" t="s">
        <v>21</v>
      </c>
      <c r="K960" t="s">
        <v>21</v>
      </c>
      <c r="L960">
        <v>3.97</v>
      </c>
      <c r="M960">
        <v>4.25</v>
      </c>
      <c r="N960">
        <v>3.71</v>
      </c>
      <c r="O960" t="s">
        <v>34</v>
      </c>
      <c r="P960" t="s">
        <v>23</v>
      </c>
      <c r="Q960" t="s">
        <v>29</v>
      </c>
    </row>
    <row r="961" spans="1:17" x14ac:dyDescent="0.35">
      <c r="A961">
        <v>960</v>
      </c>
      <c r="B961" t="s">
        <v>17</v>
      </c>
      <c r="C961">
        <v>17</v>
      </c>
      <c r="D961" t="s">
        <v>39</v>
      </c>
      <c r="E961" t="s">
        <v>19</v>
      </c>
      <c r="F961">
        <v>16</v>
      </c>
      <c r="G961">
        <v>0.91</v>
      </c>
      <c r="H961" t="s">
        <v>20</v>
      </c>
      <c r="I961">
        <v>56045</v>
      </c>
      <c r="J961" t="s">
        <v>28</v>
      </c>
      <c r="K961" t="s">
        <v>28</v>
      </c>
      <c r="L961">
        <v>3.59</v>
      </c>
      <c r="M961">
        <v>4.78</v>
      </c>
      <c r="N961">
        <v>3.13</v>
      </c>
      <c r="O961" t="s">
        <v>36</v>
      </c>
      <c r="P961" t="s">
        <v>32</v>
      </c>
      <c r="Q961" t="s">
        <v>29</v>
      </c>
    </row>
    <row r="962" spans="1:17" x14ac:dyDescent="0.35">
      <c r="A962">
        <v>961</v>
      </c>
      <c r="B962" t="s">
        <v>17</v>
      </c>
      <c r="C962">
        <v>16</v>
      </c>
      <c r="D962" t="s">
        <v>37</v>
      </c>
      <c r="E962" t="s">
        <v>35</v>
      </c>
      <c r="F962">
        <v>29</v>
      </c>
      <c r="G962">
        <v>0.74</v>
      </c>
      <c r="H962" t="s">
        <v>31</v>
      </c>
      <c r="I962">
        <v>48498</v>
      </c>
      <c r="J962" t="s">
        <v>28</v>
      </c>
      <c r="K962" t="s">
        <v>21</v>
      </c>
      <c r="L962">
        <v>3.52</v>
      </c>
      <c r="M962">
        <v>4.3</v>
      </c>
      <c r="N962">
        <v>3.33</v>
      </c>
      <c r="O962" t="s">
        <v>36</v>
      </c>
      <c r="P962" t="s">
        <v>32</v>
      </c>
      <c r="Q962" t="s">
        <v>29</v>
      </c>
    </row>
    <row r="963" spans="1:17" x14ac:dyDescent="0.35">
      <c r="A963">
        <v>962</v>
      </c>
      <c r="B963" t="s">
        <v>17</v>
      </c>
      <c r="C963">
        <v>15</v>
      </c>
      <c r="D963" t="s">
        <v>41</v>
      </c>
      <c r="E963" t="s">
        <v>19</v>
      </c>
      <c r="F963">
        <v>15</v>
      </c>
      <c r="G963">
        <v>0.94</v>
      </c>
      <c r="H963" t="s">
        <v>40</v>
      </c>
      <c r="I963">
        <v>53492</v>
      </c>
      <c r="J963" t="s">
        <v>28</v>
      </c>
      <c r="K963" t="s">
        <v>21</v>
      </c>
      <c r="L963">
        <v>3.05</v>
      </c>
      <c r="M963">
        <v>3.88</v>
      </c>
      <c r="N963">
        <v>4.99</v>
      </c>
      <c r="O963" t="s">
        <v>22</v>
      </c>
      <c r="P963" t="s">
        <v>32</v>
      </c>
      <c r="Q963" t="s">
        <v>24</v>
      </c>
    </row>
    <row r="964" spans="1:17" x14ac:dyDescent="0.35">
      <c r="A964">
        <v>963</v>
      </c>
      <c r="B964" t="s">
        <v>25</v>
      </c>
      <c r="C964">
        <v>16</v>
      </c>
      <c r="D964" t="s">
        <v>33</v>
      </c>
      <c r="E964" t="s">
        <v>35</v>
      </c>
      <c r="F964">
        <v>29</v>
      </c>
      <c r="G964">
        <v>0.62</v>
      </c>
      <c r="H964" t="s">
        <v>27</v>
      </c>
      <c r="I964">
        <v>21772</v>
      </c>
      <c r="J964" t="s">
        <v>21</v>
      </c>
      <c r="K964" t="s">
        <v>21</v>
      </c>
      <c r="L964">
        <v>3.57</v>
      </c>
      <c r="M964">
        <v>4.51</v>
      </c>
      <c r="N964">
        <v>4.13</v>
      </c>
      <c r="O964" t="s">
        <v>34</v>
      </c>
      <c r="P964" t="s">
        <v>32</v>
      </c>
      <c r="Q964" t="s">
        <v>24</v>
      </c>
    </row>
    <row r="965" spans="1:17" x14ac:dyDescent="0.35">
      <c r="A965">
        <v>964</v>
      </c>
      <c r="B965" t="s">
        <v>17</v>
      </c>
      <c r="C965">
        <v>16</v>
      </c>
      <c r="D965" t="s">
        <v>30</v>
      </c>
      <c r="E965" t="s">
        <v>35</v>
      </c>
      <c r="F965">
        <v>5</v>
      </c>
      <c r="G965">
        <v>0.75</v>
      </c>
      <c r="H965" t="s">
        <v>20</v>
      </c>
      <c r="I965">
        <v>33849</v>
      </c>
      <c r="J965" t="s">
        <v>28</v>
      </c>
      <c r="K965" t="s">
        <v>21</v>
      </c>
      <c r="L965">
        <v>4.1100000000000003</v>
      </c>
      <c r="M965">
        <v>4.3099999999999996</v>
      </c>
      <c r="N965">
        <v>3.71</v>
      </c>
      <c r="O965" t="s">
        <v>34</v>
      </c>
      <c r="P965" t="s">
        <v>23</v>
      </c>
      <c r="Q965" t="s">
        <v>29</v>
      </c>
    </row>
    <row r="966" spans="1:17" x14ac:dyDescent="0.35">
      <c r="A966">
        <v>965</v>
      </c>
      <c r="B966" t="s">
        <v>17</v>
      </c>
      <c r="C966">
        <v>15</v>
      </c>
      <c r="D966" t="s">
        <v>30</v>
      </c>
      <c r="E966" t="s">
        <v>19</v>
      </c>
      <c r="F966">
        <v>15</v>
      </c>
      <c r="G966">
        <v>0.64</v>
      </c>
      <c r="H966" t="s">
        <v>40</v>
      </c>
      <c r="I966">
        <v>59036</v>
      </c>
      <c r="J966" t="s">
        <v>28</v>
      </c>
      <c r="K966" t="s">
        <v>21</v>
      </c>
      <c r="L966">
        <v>3</v>
      </c>
      <c r="M966">
        <v>3.85</v>
      </c>
      <c r="N966">
        <v>3.58</v>
      </c>
      <c r="O966" t="s">
        <v>34</v>
      </c>
      <c r="P966" t="s">
        <v>32</v>
      </c>
      <c r="Q966" t="s">
        <v>24</v>
      </c>
    </row>
    <row r="967" spans="1:17" x14ac:dyDescent="0.35">
      <c r="A967">
        <v>966</v>
      </c>
      <c r="B967" t="s">
        <v>17</v>
      </c>
      <c r="C967">
        <v>15</v>
      </c>
      <c r="D967" t="s">
        <v>18</v>
      </c>
      <c r="E967" t="s">
        <v>19</v>
      </c>
      <c r="F967">
        <v>23</v>
      </c>
      <c r="G967">
        <v>0.8</v>
      </c>
      <c r="H967" t="s">
        <v>27</v>
      </c>
      <c r="I967">
        <v>22940</v>
      </c>
      <c r="J967" t="s">
        <v>21</v>
      </c>
      <c r="K967" t="s">
        <v>21</v>
      </c>
      <c r="L967">
        <v>3.57</v>
      </c>
      <c r="M967">
        <v>4.3600000000000003</v>
      </c>
      <c r="N967">
        <v>3.51</v>
      </c>
      <c r="O967" t="s">
        <v>34</v>
      </c>
      <c r="P967" t="s">
        <v>32</v>
      </c>
      <c r="Q967" t="s">
        <v>29</v>
      </c>
    </row>
    <row r="968" spans="1:17" x14ac:dyDescent="0.35">
      <c r="A968">
        <v>967</v>
      </c>
      <c r="B968" t="s">
        <v>17</v>
      </c>
      <c r="C968">
        <v>15</v>
      </c>
      <c r="D968" t="s">
        <v>41</v>
      </c>
      <c r="E968" t="s">
        <v>35</v>
      </c>
      <c r="F968">
        <v>13</v>
      </c>
      <c r="G968">
        <v>0.69</v>
      </c>
      <c r="H968" t="s">
        <v>20</v>
      </c>
      <c r="I968">
        <v>26932</v>
      </c>
      <c r="J968" t="s">
        <v>21</v>
      </c>
      <c r="K968" t="s">
        <v>28</v>
      </c>
      <c r="L968">
        <v>4.76</v>
      </c>
      <c r="M968">
        <v>4.7300000000000004</v>
      </c>
      <c r="N968">
        <v>4.33</v>
      </c>
      <c r="O968" t="s">
        <v>34</v>
      </c>
      <c r="P968" t="s">
        <v>23</v>
      </c>
      <c r="Q968" t="s">
        <v>29</v>
      </c>
    </row>
    <row r="969" spans="1:17" x14ac:dyDescent="0.35">
      <c r="A969">
        <v>968</v>
      </c>
      <c r="B969" t="s">
        <v>25</v>
      </c>
      <c r="C969">
        <v>18</v>
      </c>
      <c r="D969" t="s">
        <v>39</v>
      </c>
      <c r="E969" t="s">
        <v>19</v>
      </c>
      <c r="F969">
        <v>6</v>
      </c>
      <c r="G969">
        <v>0.78</v>
      </c>
      <c r="H969" t="s">
        <v>20</v>
      </c>
      <c r="I969">
        <v>39769</v>
      </c>
      <c r="J969" t="s">
        <v>28</v>
      </c>
      <c r="K969" t="s">
        <v>21</v>
      </c>
      <c r="L969">
        <v>4.1900000000000004</v>
      </c>
      <c r="M969">
        <v>3.54</v>
      </c>
      <c r="N969">
        <v>3.84</v>
      </c>
      <c r="O969" t="s">
        <v>34</v>
      </c>
      <c r="P969" t="s">
        <v>23</v>
      </c>
      <c r="Q969" t="s">
        <v>29</v>
      </c>
    </row>
    <row r="970" spans="1:17" x14ac:dyDescent="0.35">
      <c r="A970">
        <v>969</v>
      </c>
      <c r="B970" t="s">
        <v>25</v>
      </c>
      <c r="C970">
        <v>15</v>
      </c>
      <c r="D970" t="s">
        <v>18</v>
      </c>
      <c r="E970" t="s">
        <v>19</v>
      </c>
      <c r="F970">
        <v>16</v>
      </c>
      <c r="G970">
        <v>0.84</v>
      </c>
      <c r="H970" t="s">
        <v>31</v>
      </c>
      <c r="I970">
        <v>34648</v>
      </c>
      <c r="J970" t="s">
        <v>21</v>
      </c>
      <c r="K970" t="s">
        <v>21</v>
      </c>
      <c r="L970">
        <v>4.22</v>
      </c>
      <c r="M970">
        <v>4.45</v>
      </c>
      <c r="N970">
        <v>4.93</v>
      </c>
      <c r="O970" t="s">
        <v>22</v>
      </c>
      <c r="P970" t="s">
        <v>32</v>
      </c>
      <c r="Q970" t="s">
        <v>24</v>
      </c>
    </row>
    <row r="971" spans="1:17" x14ac:dyDescent="0.35">
      <c r="A971">
        <v>970</v>
      </c>
      <c r="B971" t="s">
        <v>17</v>
      </c>
      <c r="C971">
        <v>15</v>
      </c>
      <c r="D971" t="s">
        <v>41</v>
      </c>
      <c r="E971" t="s">
        <v>19</v>
      </c>
      <c r="F971">
        <v>8</v>
      </c>
      <c r="G971">
        <v>0.63</v>
      </c>
      <c r="H971" t="s">
        <v>27</v>
      </c>
      <c r="I971">
        <v>57411</v>
      </c>
      <c r="J971" t="s">
        <v>28</v>
      </c>
      <c r="K971" t="s">
        <v>21</v>
      </c>
      <c r="L971">
        <v>3.81</v>
      </c>
      <c r="M971">
        <v>4.0199999999999996</v>
      </c>
      <c r="N971">
        <v>4.37</v>
      </c>
      <c r="O971" t="s">
        <v>34</v>
      </c>
      <c r="P971" t="s">
        <v>23</v>
      </c>
      <c r="Q971" t="s">
        <v>24</v>
      </c>
    </row>
    <row r="972" spans="1:17" x14ac:dyDescent="0.35">
      <c r="A972">
        <v>971</v>
      </c>
      <c r="B972" t="s">
        <v>25</v>
      </c>
      <c r="C972">
        <v>15</v>
      </c>
      <c r="D972" t="s">
        <v>26</v>
      </c>
      <c r="E972" t="s">
        <v>19</v>
      </c>
      <c r="F972">
        <v>8</v>
      </c>
      <c r="G972">
        <v>0.88</v>
      </c>
      <c r="H972" t="s">
        <v>40</v>
      </c>
      <c r="I972">
        <v>42966</v>
      </c>
      <c r="J972" t="s">
        <v>21</v>
      </c>
      <c r="K972" t="s">
        <v>21</v>
      </c>
      <c r="L972">
        <v>4.3499999999999996</v>
      </c>
      <c r="M972">
        <v>3.94</v>
      </c>
      <c r="N972">
        <v>4.58</v>
      </c>
      <c r="O972" t="s">
        <v>22</v>
      </c>
      <c r="P972" t="s">
        <v>23</v>
      </c>
      <c r="Q972" t="s">
        <v>24</v>
      </c>
    </row>
    <row r="973" spans="1:17" x14ac:dyDescent="0.35">
      <c r="A973">
        <v>972</v>
      </c>
      <c r="B973" t="s">
        <v>17</v>
      </c>
      <c r="C973">
        <v>15</v>
      </c>
      <c r="D973" t="s">
        <v>42</v>
      </c>
      <c r="E973" t="s">
        <v>19</v>
      </c>
      <c r="F973">
        <v>22</v>
      </c>
      <c r="G973">
        <v>0.78</v>
      </c>
      <c r="H973" t="s">
        <v>40</v>
      </c>
      <c r="I973">
        <v>37777</v>
      </c>
      <c r="J973" t="s">
        <v>21</v>
      </c>
      <c r="K973" t="s">
        <v>28</v>
      </c>
      <c r="L973">
        <v>3.38</v>
      </c>
      <c r="M973">
        <v>4.09</v>
      </c>
      <c r="N973">
        <v>3.59</v>
      </c>
      <c r="O973" t="s">
        <v>34</v>
      </c>
      <c r="P973" t="s">
        <v>32</v>
      </c>
      <c r="Q973" t="s">
        <v>24</v>
      </c>
    </row>
    <row r="974" spans="1:17" x14ac:dyDescent="0.35">
      <c r="A974">
        <v>973</v>
      </c>
      <c r="B974" t="s">
        <v>17</v>
      </c>
      <c r="C974">
        <v>17</v>
      </c>
      <c r="D974" t="s">
        <v>18</v>
      </c>
      <c r="E974" t="s">
        <v>35</v>
      </c>
      <c r="F974">
        <v>19</v>
      </c>
      <c r="G974">
        <v>0.61</v>
      </c>
      <c r="H974" t="s">
        <v>40</v>
      </c>
      <c r="I974">
        <v>42567</v>
      </c>
      <c r="J974" t="s">
        <v>28</v>
      </c>
      <c r="K974" t="s">
        <v>28</v>
      </c>
      <c r="L974">
        <v>4.6399999999999997</v>
      </c>
      <c r="M974">
        <v>4.01</v>
      </c>
      <c r="N974">
        <v>3.16</v>
      </c>
      <c r="O974" t="s">
        <v>36</v>
      </c>
      <c r="P974" t="s">
        <v>32</v>
      </c>
      <c r="Q974" t="s">
        <v>29</v>
      </c>
    </row>
    <row r="975" spans="1:17" x14ac:dyDescent="0.35">
      <c r="A975">
        <v>974</v>
      </c>
      <c r="B975" t="s">
        <v>17</v>
      </c>
      <c r="C975">
        <v>18</v>
      </c>
      <c r="D975" t="s">
        <v>18</v>
      </c>
      <c r="E975" t="s">
        <v>35</v>
      </c>
      <c r="F975">
        <v>23</v>
      </c>
      <c r="G975">
        <v>0.69</v>
      </c>
      <c r="H975" t="s">
        <v>27</v>
      </c>
      <c r="I975">
        <v>59723</v>
      </c>
      <c r="J975" t="s">
        <v>28</v>
      </c>
      <c r="K975" t="s">
        <v>21</v>
      </c>
      <c r="L975">
        <v>3.23</v>
      </c>
      <c r="M975">
        <v>4.75</v>
      </c>
      <c r="N975">
        <v>3.98</v>
      </c>
      <c r="O975" t="s">
        <v>34</v>
      </c>
      <c r="P975" t="s">
        <v>32</v>
      </c>
      <c r="Q975" t="s">
        <v>24</v>
      </c>
    </row>
    <row r="976" spans="1:17" x14ac:dyDescent="0.35">
      <c r="A976">
        <v>975</v>
      </c>
      <c r="B976" t="s">
        <v>25</v>
      </c>
      <c r="C976">
        <v>16</v>
      </c>
      <c r="D976" t="s">
        <v>39</v>
      </c>
      <c r="E976" t="s">
        <v>19</v>
      </c>
      <c r="F976">
        <v>17</v>
      </c>
      <c r="G976">
        <v>0.84</v>
      </c>
      <c r="H976" t="s">
        <v>40</v>
      </c>
      <c r="I976">
        <v>27174</v>
      </c>
      <c r="J976" t="s">
        <v>28</v>
      </c>
      <c r="K976" t="s">
        <v>21</v>
      </c>
      <c r="L976">
        <v>4.3099999999999996</v>
      </c>
      <c r="M976">
        <v>3.91</v>
      </c>
      <c r="N976">
        <v>3.63</v>
      </c>
      <c r="O976" t="s">
        <v>34</v>
      </c>
      <c r="P976" t="s">
        <v>32</v>
      </c>
      <c r="Q976" t="s">
        <v>29</v>
      </c>
    </row>
    <row r="977" spans="1:17" x14ac:dyDescent="0.35">
      <c r="A977">
        <v>976</v>
      </c>
      <c r="B977" t="s">
        <v>25</v>
      </c>
      <c r="C977">
        <v>15</v>
      </c>
      <c r="D977" t="s">
        <v>37</v>
      </c>
      <c r="E977" t="s">
        <v>35</v>
      </c>
      <c r="F977">
        <v>23</v>
      </c>
      <c r="G977">
        <v>0.79</v>
      </c>
      <c r="H977" t="s">
        <v>40</v>
      </c>
      <c r="I977">
        <v>52598</v>
      </c>
      <c r="J977" t="s">
        <v>21</v>
      </c>
      <c r="K977" t="s">
        <v>21</v>
      </c>
      <c r="L977">
        <v>3.68</v>
      </c>
      <c r="M977">
        <v>4.5999999999999996</v>
      </c>
      <c r="N977">
        <v>3.4</v>
      </c>
      <c r="O977" t="s">
        <v>36</v>
      </c>
      <c r="P977" t="s">
        <v>32</v>
      </c>
      <c r="Q977" t="s">
        <v>29</v>
      </c>
    </row>
    <row r="978" spans="1:17" x14ac:dyDescent="0.35">
      <c r="A978">
        <v>977</v>
      </c>
      <c r="B978" t="s">
        <v>25</v>
      </c>
      <c r="C978">
        <v>17</v>
      </c>
      <c r="D978" t="s">
        <v>26</v>
      </c>
      <c r="E978" t="s">
        <v>35</v>
      </c>
      <c r="F978">
        <v>21</v>
      </c>
      <c r="G978">
        <v>0.78</v>
      </c>
      <c r="H978" t="s">
        <v>40</v>
      </c>
      <c r="I978">
        <v>23798</v>
      </c>
      <c r="J978" t="s">
        <v>28</v>
      </c>
      <c r="K978" t="s">
        <v>28</v>
      </c>
      <c r="L978">
        <v>4.5</v>
      </c>
      <c r="M978">
        <v>3.64</v>
      </c>
      <c r="N978">
        <v>4.91</v>
      </c>
      <c r="O978" t="s">
        <v>22</v>
      </c>
      <c r="P978" t="s">
        <v>32</v>
      </c>
      <c r="Q978" t="s">
        <v>24</v>
      </c>
    </row>
    <row r="979" spans="1:17" x14ac:dyDescent="0.35">
      <c r="A979">
        <v>978</v>
      </c>
      <c r="B979" t="s">
        <v>25</v>
      </c>
      <c r="C979">
        <v>17</v>
      </c>
      <c r="D979" t="s">
        <v>39</v>
      </c>
      <c r="E979" t="s">
        <v>19</v>
      </c>
      <c r="F979">
        <v>10</v>
      </c>
      <c r="G979">
        <v>0.82</v>
      </c>
      <c r="H979" t="s">
        <v>31</v>
      </c>
      <c r="I979">
        <v>27558</v>
      </c>
      <c r="J979" t="s">
        <v>28</v>
      </c>
      <c r="K979" t="s">
        <v>28</v>
      </c>
      <c r="L979">
        <v>4.0999999999999996</v>
      </c>
      <c r="M979">
        <v>4.93</v>
      </c>
      <c r="N979">
        <v>3.89</v>
      </c>
      <c r="O979" t="s">
        <v>34</v>
      </c>
      <c r="P979" t="s">
        <v>23</v>
      </c>
      <c r="Q979" t="s">
        <v>29</v>
      </c>
    </row>
    <row r="980" spans="1:17" x14ac:dyDescent="0.35">
      <c r="A980">
        <v>979</v>
      </c>
      <c r="B980" t="s">
        <v>25</v>
      </c>
      <c r="C980">
        <v>17</v>
      </c>
      <c r="D980" t="s">
        <v>41</v>
      </c>
      <c r="E980" t="s">
        <v>35</v>
      </c>
      <c r="F980">
        <v>20</v>
      </c>
      <c r="G980">
        <v>0.83</v>
      </c>
      <c r="H980" t="s">
        <v>31</v>
      </c>
      <c r="I980">
        <v>54237</v>
      </c>
      <c r="J980" t="s">
        <v>28</v>
      </c>
      <c r="K980" t="s">
        <v>28</v>
      </c>
      <c r="L980">
        <v>3.9</v>
      </c>
      <c r="M980">
        <v>4.43</v>
      </c>
      <c r="N980">
        <v>3.35</v>
      </c>
      <c r="O980" t="s">
        <v>36</v>
      </c>
      <c r="P980" t="s">
        <v>32</v>
      </c>
      <c r="Q980" t="s">
        <v>29</v>
      </c>
    </row>
    <row r="981" spans="1:17" x14ac:dyDescent="0.35">
      <c r="A981">
        <v>980</v>
      </c>
      <c r="B981" t="s">
        <v>25</v>
      </c>
      <c r="C981">
        <v>16</v>
      </c>
      <c r="D981" t="s">
        <v>41</v>
      </c>
      <c r="E981" t="s">
        <v>19</v>
      </c>
      <c r="F981">
        <v>28</v>
      </c>
      <c r="G981">
        <v>0.7</v>
      </c>
      <c r="H981" t="s">
        <v>27</v>
      </c>
      <c r="I981">
        <v>10178</v>
      </c>
      <c r="J981" t="s">
        <v>28</v>
      </c>
      <c r="K981" t="s">
        <v>28</v>
      </c>
      <c r="L981">
        <v>3.34</v>
      </c>
      <c r="M981">
        <v>4.5599999999999996</v>
      </c>
      <c r="N981">
        <v>3.4</v>
      </c>
      <c r="O981" t="s">
        <v>36</v>
      </c>
      <c r="P981" t="s">
        <v>32</v>
      </c>
      <c r="Q981" t="s">
        <v>24</v>
      </c>
    </row>
    <row r="982" spans="1:17" x14ac:dyDescent="0.35">
      <c r="A982">
        <v>981</v>
      </c>
      <c r="B982" t="s">
        <v>25</v>
      </c>
      <c r="C982">
        <v>15</v>
      </c>
      <c r="D982" t="s">
        <v>41</v>
      </c>
      <c r="E982" t="s">
        <v>19</v>
      </c>
      <c r="F982">
        <v>16</v>
      </c>
      <c r="G982">
        <v>0.93</v>
      </c>
      <c r="H982" t="s">
        <v>27</v>
      </c>
      <c r="I982">
        <v>30470</v>
      </c>
      <c r="J982" t="s">
        <v>28</v>
      </c>
      <c r="K982" t="s">
        <v>21</v>
      </c>
      <c r="L982">
        <v>4.2699999999999996</v>
      </c>
      <c r="M982">
        <v>3.95</v>
      </c>
      <c r="N982">
        <v>3.56</v>
      </c>
      <c r="O982" t="s">
        <v>34</v>
      </c>
      <c r="P982" t="s">
        <v>32</v>
      </c>
      <c r="Q982" t="s">
        <v>29</v>
      </c>
    </row>
    <row r="983" spans="1:17" x14ac:dyDescent="0.35">
      <c r="A983">
        <v>982</v>
      </c>
      <c r="B983" t="s">
        <v>25</v>
      </c>
      <c r="C983">
        <v>18</v>
      </c>
      <c r="D983" t="s">
        <v>33</v>
      </c>
      <c r="E983" t="s">
        <v>35</v>
      </c>
      <c r="F983">
        <v>23</v>
      </c>
      <c r="G983">
        <v>0.87</v>
      </c>
      <c r="H983" t="s">
        <v>40</v>
      </c>
      <c r="I983">
        <v>27118</v>
      </c>
      <c r="J983" t="s">
        <v>21</v>
      </c>
      <c r="K983" t="s">
        <v>28</v>
      </c>
      <c r="L983">
        <v>4.95</v>
      </c>
      <c r="M983">
        <v>4.12</v>
      </c>
      <c r="N983">
        <v>5</v>
      </c>
      <c r="O983" t="s">
        <v>22</v>
      </c>
      <c r="P983" t="s">
        <v>32</v>
      </c>
      <c r="Q983" t="s">
        <v>24</v>
      </c>
    </row>
    <row r="984" spans="1:17" x14ac:dyDescent="0.35">
      <c r="A984">
        <v>983</v>
      </c>
      <c r="B984" t="s">
        <v>25</v>
      </c>
      <c r="C984">
        <v>18</v>
      </c>
      <c r="D984" t="s">
        <v>41</v>
      </c>
      <c r="E984" t="s">
        <v>19</v>
      </c>
      <c r="F984">
        <v>9</v>
      </c>
      <c r="G984">
        <v>0.64</v>
      </c>
      <c r="H984" t="s">
        <v>31</v>
      </c>
      <c r="I984">
        <v>32616</v>
      </c>
      <c r="J984" t="s">
        <v>28</v>
      </c>
      <c r="K984" t="s">
        <v>28</v>
      </c>
      <c r="L984">
        <v>4.6500000000000004</v>
      </c>
      <c r="M984">
        <v>3.84</v>
      </c>
      <c r="N984">
        <v>3.54</v>
      </c>
      <c r="O984" t="s">
        <v>34</v>
      </c>
      <c r="P984" t="s">
        <v>23</v>
      </c>
      <c r="Q984" t="s">
        <v>29</v>
      </c>
    </row>
    <row r="985" spans="1:17" x14ac:dyDescent="0.35">
      <c r="A985">
        <v>984</v>
      </c>
      <c r="B985" t="s">
        <v>17</v>
      </c>
      <c r="C985">
        <v>17</v>
      </c>
      <c r="D985" t="s">
        <v>37</v>
      </c>
      <c r="E985" t="s">
        <v>19</v>
      </c>
      <c r="F985">
        <v>21</v>
      </c>
      <c r="G985">
        <v>0.64</v>
      </c>
      <c r="H985" t="s">
        <v>20</v>
      </c>
      <c r="I985">
        <v>10798</v>
      </c>
      <c r="J985" t="s">
        <v>28</v>
      </c>
      <c r="K985" t="s">
        <v>21</v>
      </c>
      <c r="L985">
        <v>3.12</v>
      </c>
      <c r="M985">
        <v>4.9000000000000004</v>
      </c>
      <c r="N985">
        <v>3.66</v>
      </c>
      <c r="O985" t="s">
        <v>34</v>
      </c>
      <c r="P985" t="s">
        <v>32</v>
      </c>
      <c r="Q985" t="s">
        <v>24</v>
      </c>
    </row>
    <row r="986" spans="1:17" x14ac:dyDescent="0.35">
      <c r="A986">
        <v>985</v>
      </c>
      <c r="B986" t="s">
        <v>25</v>
      </c>
      <c r="C986">
        <v>16</v>
      </c>
      <c r="D986" t="s">
        <v>26</v>
      </c>
      <c r="E986" t="s">
        <v>19</v>
      </c>
      <c r="F986">
        <v>27</v>
      </c>
      <c r="G986">
        <v>0.8</v>
      </c>
      <c r="H986" t="s">
        <v>20</v>
      </c>
      <c r="I986">
        <v>17601</v>
      </c>
      <c r="J986" t="s">
        <v>21</v>
      </c>
      <c r="K986" t="s">
        <v>21</v>
      </c>
      <c r="L986">
        <v>3.75</v>
      </c>
      <c r="M986">
        <v>4.2300000000000004</v>
      </c>
      <c r="N986">
        <v>4.32</v>
      </c>
      <c r="O986" t="s">
        <v>34</v>
      </c>
      <c r="P986" t="s">
        <v>32</v>
      </c>
      <c r="Q986" t="s">
        <v>24</v>
      </c>
    </row>
    <row r="987" spans="1:17" x14ac:dyDescent="0.35">
      <c r="A987">
        <v>986</v>
      </c>
      <c r="B987" t="s">
        <v>25</v>
      </c>
      <c r="C987">
        <v>16</v>
      </c>
      <c r="D987" t="s">
        <v>30</v>
      </c>
      <c r="E987" t="s">
        <v>19</v>
      </c>
      <c r="F987">
        <v>5</v>
      </c>
      <c r="G987">
        <v>0.71</v>
      </c>
      <c r="H987" t="s">
        <v>40</v>
      </c>
      <c r="I987">
        <v>35363</v>
      </c>
      <c r="J987" t="s">
        <v>28</v>
      </c>
      <c r="K987" t="s">
        <v>28</v>
      </c>
      <c r="L987">
        <v>4.8499999999999996</v>
      </c>
      <c r="M987">
        <v>4.45</v>
      </c>
      <c r="N987">
        <v>3.59</v>
      </c>
      <c r="O987" t="s">
        <v>34</v>
      </c>
      <c r="P987" t="s">
        <v>23</v>
      </c>
      <c r="Q987" t="s">
        <v>29</v>
      </c>
    </row>
    <row r="988" spans="1:17" x14ac:dyDescent="0.35">
      <c r="A988">
        <v>987</v>
      </c>
      <c r="B988" t="s">
        <v>25</v>
      </c>
      <c r="C988">
        <v>16</v>
      </c>
      <c r="D988" t="s">
        <v>42</v>
      </c>
      <c r="E988" t="s">
        <v>19</v>
      </c>
      <c r="F988">
        <v>29</v>
      </c>
      <c r="G988">
        <v>0.63</v>
      </c>
      <c r="H988" t="s">
        <v>40</v>
      </c>
      <c r="I988">
        <v>12795</v>
      </c>
      <c r="J988" t="s">
        <v>28</v>
      </c>
      <c r="K988" t="s">
        <v>28</v>
      </c>
      <c r="L988">
        <v>4.01</v>
      </c>
      <c r="M988">
        <v>4.5999999999999996</v>
      </c>
      <c r="N988">
        <v>3.43</v>
      </c>
      <c r="O988" t="s">
        <v>36</v>
      </c>
      <c r="P988" t="s">
        <v>32</v>
      </c>
      <c r="Q988" t="s">
        <v>29</v>
      </c>
    </row>
    <row r="989" spans="1:17" x14ac:dyDescent="0.35">
      <c r="A989">
        <v>988</v>
      </c>
      <c r="B989" t="s">
        <v>25</v>
      </c>
      <c r="C989">
        <v>18</v>
      </c>
      <c r="D989" t="s">
        <v>37</v>
      </c>
      <c r="E989" t="s">
        <v>35</v>
      </c>
      <c r="F989">
        <v>28</v>
      </c>
      <c r="G989">
        <v>0.79</v>
      </c>
      <c r="H989" t="s">
        <v>31</v>
      </c>
      <c r="I989">
        <v>41926</v>
      </c>
      <c r="J989" t="s">
        <v>28</v>
      </c>
      <c r="K989" t="s">
        <v>28</v>
      </c>
      <c r="L989">
        <v>4.32</v>
      </c>
      <c r="M989">
        <v>4.0599999999999996</v>
      </c>
      <c r="N989">
        <v>3.32</v>
      </c>
      <c r="O989" t="s">
        <v>36</v>
      </c>
      <c r="P989" t="s">
        <v>32</v>
      </c>
      <c r="Q989" t="s">
        <v>29</v>
      </c>
    </row>
    <row r="990" spans="1:17" x14ac:dyDescent="0.35">
      <c r="A990">
        <v>989</v>
      </c>
      <c r="B990" t="s">
        <v>25</v>
      </c>
      <c r="C990">
        <v>17</v>
      </c>
      <c r="D990" t="s">
        <v>37</v>
      </c>
      <c r="E990" t="s">
        <v>35</v>
      </c>
      <c r="F990">
        <v>27</v>
      </c>
      <c r="G990">
        <v>0.97</v>
      </c>
      <c r="H990" t="s">
        <v>31</v>
      </c>
      <c r="I990">
        <v>55264</v>
      </c>
      <c r="J990" t="s">
        <v>28</v>
      </c>
      <c r="K990" t="s">
        <v>28</v>
      </c>
      <c r="L990">
        <v>4.83</v>
      </c>
      <c r="M990">
        <v>4.58</v>
      </c>
      <c r="N990">
        <v>3.63</v>
      </c>
      <c r="O990" t="s">
        <v>34</v>
      </c>
      <c r="P990" t="s">
        <v>32</v>
      </c>
      <c r="Q990" t="s">
        <v>29</v>
      </c>
    </row>
    <row r="991" spans="1:17" x14ac:dyDescent="0.35">
      <c r="A991">
        <v>990</v>
      </c>
      <c r="B991" t="s">
        <v>25</v>
      </c>
      <c r="C991">
        <v>15</v>
      </c>
      <c r="D991" t="s">
        <v>33</v>
      </c>
      <c r="E991" t="s">
        <v>19</v>
      </c>
      <c r="F991">
        <v>14</v>
      </c>
      <c r="G991">
        <v>0.84</v>
      </c>
      <c r="H991" t="s">
        <v>31</v>
      </c>
      <c r="I991">
        <v>47356</v>
      </c>
      <c r="J991" t="s">
        <v>28</v>
      </c>
      <c r="K991" t="s">
        <v>21</v>
      </c>
      <c r="L991">
        <v>4.75</v>
      </c>
      <c r="M991">
        <v>4.51</v>
      </c>
      <c r="N991">
        <v>3.21</v>
      </c>
      <c r="O991" t="s">
        <v>36</v>
      </c>
      <c r="P991" t="s">
        <v>23</v>
      </c>
      <c r="Q991" t="s">
        <v>29</v>
      </c>
    </row>
    <row r="992" spans="1:17" x14ac:dyDescent="0.35">
      <c r="A992">
        <v>991</v>
      </c>
      <c r="B992" t="s">
        <v>25</v>
      </c>
      <c r="C992">
        <v>18</v>
      </c>
      <c r="D992" t="s">
        <v>30</v>
      </c>
      <c r="E992" t="s">
        <v>19</v>
      </c>
      <c r="F992">
        <v>19</v>
      </c>
      <c r="G992">
        <v>0.73</v>
      </c>
      <c r="H992" t="s">
        <v>27</v>
      </c>
      <c r="I992">
        <v>17297</v>
      </c>
      <c r="J992" t="s">
        <v>21</v>
      </c>
      <c r="K992" t="s">
        <v>21</v>
      </c>
      <c r="L992">
        <v>4</v>
      </c>
      <c r="M992">
        <v>4.5599999999999996</v>
      </c>
      <c r="N992">
        <v>3.04</v>
      </c>
      <c r="O992" t="s">
        <v>36</v>
      </c>
      <c r="P992" t="s">
        <v>32</v>
      </c>
      <c r="Q992" t="s">
        <v>29</v>
      </c>
    </row>
    <row r="993" spans="1:17" x14ac:dyDescent="0.35">
      <c r="A993">
        <v>992</v>
      </c>
      <c r="B993" t="s">
        <v>25</v>
      </c>
      <c r="C993">
        <v>17</v>
      </c>
      <c r="D993" t="s">
        <v>30</v>
      </c>
      <c r="E993" t="s">
        <v>35</v>
      </c>
      <c r="F993">
        <v>27</v>
      </c>
      <c r="G993">
        <v>0.7</v>
      </c>
      <c r="H993" t="s">
        <v>27</v>
      </c>
      <c r="I993">
        <v>13084</v>
      </c>
      <c r="J993" t="s">
        <v>21</v>
      </c>
      <c r="K993" t="s">
        <v>28</v>
      </c>
      <c r="L993">
        <v>3.88</v>
      </c>
      <c r="M993">
        <v>4.2300000000000004</v>
      </c>
      <c r="N993">
        <v>4.6100000000000003</v>
      </c>
      <c r="O993" t="s">
        <v>22</v>
      </c>
      <c r="P993" t="s">
        <v>32</v>
      </c>
      <c r="Q993" t="s">
        <v>24</v>
      </c>
    </row>
    <row r="994" spans="1:17" x14ac:dyDescent="0.35">
      <c r="A994">
        <v>993</v>
      </c>
      <c r="B994" t="s">
        <v>25</v>
      </c>
      <c r="C994">
        <v>17</v>
      </c>
      <c r="D994" t="s">
        <v>42</v>
      </c>
      <c r="E994" t="s">
        <v>19</v>
      </c>
      <c r="F994">
        <v>25</v>
      </c>
      <c r="G994">
        <v>0.91</v>
      </c>
      <c r="H994" t="s">
        <v>40</v>
      </c>
      <c r="I994">
        <v>40329</v>
      </c>
      <c r="J994" t="s">
        <v>21</v>
      </c>
      <c r="K994" t="s">
        <v>28</v>
      </c>
      <c r="L994">
        <v>3.68</v>
      </c>
      <c r="M994">
        <v>4.07</v>
      </c>
      <c r="N994">
        <v>3.28</v>
      </c>
      <c r="O994" t="s">
        <v>36</v>
      </c>
      <c r="P994" t="s">
        <v>32</v>
      </c>
      <c r="Q994" t="s">
        <v>29</v>
      </c>
    </row>
    <row r="995" spans="1:17" x14ac:dyDescent="0.35">
      <c r="A995">
        <v>994</v>
      </c>
      <c r="B995" t="s">
        <v>25</v>
      </c>
      <c r="C995">
        <v>15</v>
      </c>
      <c r="D995" t="s">
        <v>42</v>
      </c>
      <c r="E995" t="s">
        <v>35</v>
      </c>
      <c r="F995">
        <v>25</v>
      </c>
      <c r="G995">
        <v>0.7</v>
      </c>
      <c r="H995" t="s">
        <v>27</v>
      </c>
      <c r="I995">
        <v>21110</v>
      </c>
      <c r="J995" t="s">
        <v>28</v>
      </c>
      <c r="K995" t="s">
        <v>28</v>
      </c>
      <c r="L995">
        <v>4.4400000000000004</v>
      </c>
      <c r="M995">
        <v>3.83</v>
      </c>
      <c r="N995">
        <v>4.55</v>
      </c>
      <c r="O995" t="s">
        <v>22</v>
      </c>
      <c r="P995" t="s">
        <v>32</v>
      </c>
      <c r="Q995" t="s">
        <v>24</v>
      </c>
    </row>
    <row r="996" spans="1:17" x14ac:dyDescent="0.35">
      <c r="A996">
        <v>995</v>
      </c>
      <c r="B996" t="s">
        <v>25</v>
      </c>
      <c r="C996">
        <v>15</v>
      </c>
      <c r="D996" t="s">
        <v>30</v>
      </c>
      <c r="E996" t="s">
        <v>19</v>
      </c>
      <c r="F996">
        <v>15</v>
      </c>
      <c r="G996">
        <v>0.77</v>
      </c>
      <c r="H996" t="s">
        <v>31</v>
      </c>
      <c r="I996">
        <v>10731</v>
      </c>
      <c r="J996" t="s">
        <v>21</v>
      </c>
      <c r="K996" t="s">
        <v>28</v>
      </c>
      <c r="L996">
        <v>3.57</v>
      </c>
      <c r="M996">
        <v>4.74</v>
      </c>
      <c r="N996">
        <v>4.5999999999999996</v>
      </c>
      <c r="O996" t="s">
        <v>22</v>
      </c>
      <c r="P996" t="s">
        <v>32</v>
      </c>
      <c r="Q996" t="s">
        <v>24</v>
      </c>
    </row>
    <row r="997" spans="1:17" x14ac:dyDescent="0.35">
      <c r="A997">
        <v>996</v>
      </c>
      <c r="B997" t="s">
        <v>17</v>
      </c>
      <c r="C997">
        <v>15</v>
      </c>
      <c r="D997" t="s">
        <v>41</v>
      </c>
      <c r="E997" t="s">
        <v>19</v>
      </c>
      <c r="F997">
        <v>17</v>
      </c>
      <c r="G997">
        <v>0.86</v>
      </c>
      <c r="H997" t="s">
        <v>31</v>
      </c>
      <c r="I997">
        <v>11129</v>
      </c>
      <c r="J997" t="s">
        <v>28</v>
      </c>
      <c r="K997" t="s">
        <v>28</v>
      </c>
      <c r="L997">
        <v>3.5</v>
      </c>
      <c r="M997">
        <v>4.41</v>
      </c>
      <c r="N997">
        <v>4.08</v>
      </c>
      <c r="O997" t="s">
        <v>34</v>
      </c>
      <c r="P997" t="s">
        <v>32</v>
      </c>
      <c r="Q997" t="s">
        <v>24</v>
      </c>
    </row>
    <row r="998" spans="1:17" x14ac:dyDescent="0.35">
      <c r="A998">
        <v>997</v>
      </c>
      <c r="B998" t="s">
        <v>17</v>
      </c>
      <c r="C998">
        <v>16</v>
      </c>
      <c r="D998" t="s">
        <v>37</v>
      </c>
      <c r="E998" t="s">
        <v>19</v>
      </c>
      <c r="F998">
        <v>9</v>
      </c>
      <c r="G998">
        <v>0.77</v>
      </c>
      <c r="H998" t="s">
        <v>27</v>
      </c>
      <c r="I998">
        <v>38022</v>
      </c>
      <c r="J998" t="s">
        <v>28</v>
      </c>
      <c r="K998" t="s">
        <v>21</v>
      </c>
      <c r="L998">
        <v>3.71</v>
      </c>
      <c r="M998">
        <v>4.17</v>
      </c>
      <c r="N998">
        <v>3.62</v>
      </c>
      <c r="O998" t="s">
        <v>34</v>
      </c>
      <c r="P998" t="s">
        <v>23</v>
      </c>
      <c r="Q998" t="s">
        <v>29</v>
      </c>
    </row>
    <row r="999" spans="1:17" x14ac:dyDescent="0.35">
      <c r="A999">
        <v>998</v>
      </c>
      <c r="B999" t="s">
        <v>25</v>
      </c>
      <c r="C999">
        <v>15</v>
      </c>
      <c r="D999" t="s">
        <v>39</v>
      </c>
      <c r="E999" t="s">
        <v>19</v>
      </c>
      <c r="F999">
        <v>5</v>
      </c>
      <c r="G999">
        <v>0.82</v>
      </c>
      <c r="H999" t="s">
        <v>20</v>
      </c>
      <c r="I999">
        <v>11605</v>
      </c>
      <c r="J999" t="s">
        <v>28</v>
      </c>
      <c r="K999" t="s">
        <v>21</v>
      </c>
      <c r="L999">
        <v>3.35</v>
      </c>
      <c r="M999">
        <v>4.92</v>
      </c>
      <c r="N999">
        <v>3.29</v>
      </c>
      <c r="O999" t="s">
        <v>36</v>
      </c>
      <c r="P999" t="s">
        <v>23</v>
      </c>
      <c r="Q999" t="s">
        <v>29</v>
      </c>
    </row>
    <row r="1000" spans="1:17" x14ac:dyDescent="0.35">
      <c r="A1000">
        <v>999</v>
      </c>
      <c r="B1000" t="s">
        <v>25</v>
      </c>
      <c r="C1000">
        <v>17</v>
      </c>
      <c r="D1000" t="s">
        <v>42</v>
      </c>
      <c r="E1000" t="s">
        <v>19</v>
      </c>
      <c r="F1000">
        <v>28</v>
      </c>
      <c r="G1000">
        <v>0.7</v>
      </c>
      <c r="H1000" t="s">
        <v>40</v>
      </c>
      <c r="I1000">
        <v>21970</v>
      </c>
      <c r="J1000" t="s">
        <v>21</v>
      </c>
      <c r="K1000" t="s">
        <v>21</v>
      </c>
      <c r="L1000">
        <v>4.3899999999999997</v>
      </c>
      <c r="M1000">
        <v>3.57</v>
      </c>
      <c r="N1000">
        <v>4.47</v>
      </c>
      <c r="O1000" t="s">
        <v>34</v>
      </c>
      <c r="P1000" t="s">
        <v>32</v>
      </c>
      <c r="Q1000" t="s">
        <v>24</v>
      </c>
    </row>
    <row r="1001" spans="1:17" x14ac:dyDescent="0.35">
      <c r="A1001">
        <v>1000</v>
      </c>
      <c r="B1001" t="s">
        <v>17</v>
      </c>
      <c r="C1001">
        <v>15</v>
      </c>
      <c r="D1001" t="s">
        <v>33</v>
      </c>
      <c r="E1001" t="s">
        <v>19</v>
      </c>
      <c r="F1001">
        <v>16</v>
      </c>
      <c r="G1001">
        <v>0.8</v>
      </c>
      <c r="H1001" t="s">
        <v>20</v>
      </c>
      <c r="I1001">
        <v>53705</v>
      </c>
      <c r="J1001" t="s">
        <v>21</v>
      </c>
      <c r="K1001" t="s">
        <v>28</v>
      </c>
      <c r="L1001">
        <v>4.2300000000000004</v>
      </c>
      <c r="M1001">
        <v>4.78</v>
      </c>
      <c r="N1001">
        <v>4.2</v>
      </c>
      <c r="O1001" t="s">
        <v>34</v>
      </c>
      <c r="P1001" t="s">
        <v>32</v>
      </c>
      <c r="Q1001" t="s">
        <v>29</v>
      </c>
    </row>
    <row r="1004" spans="1:17" ht="23.5" x14ac:dyDescent="0.55000000000000004">
      <c r="L1004">
        <f>AVERAGE(L2:L1001)</f>
        <v>3.994930000000001</v>
      </c>
      <c r="N1004" s="5">
        <f>AVERAGE(bangladesh_student_performance!M2:M1001)</f>
        <v>4.2569199999999991</v>
      </c>
    </row>
    <row r="1005" spans="1:17" x14ac:dyDescent="0.35">
      <c r="L1005">
        <f>AVERAGE(bangladesh_student_performance[Previous_GPA])</f>
        <v>3.994930000000001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855DB-B9B5-4117-B2F4-532486C3AA80}">
  <dimension ref="D2"/>
  <sheetViews>
    <sheetView showGridLines="0" showRowColHeaders="0" tabSelected="1" zoomScale="99" zoomScaleNormal="100" workbookViewId="0">
      <selection activeCell="L10" sqref="L10"/>
    </sheetView>
  </sheetViews>
  <sheetFormatPr defaultRowHeight="14.5" x14ac:dyDescent="0.35"/>
  <cols>
    <col min="1" max="16384" width="8.7265625" style="4"/>
  </cols>
  <sheetData>
    <row r="2" spans="4:4" x14ac:dyDescent="0.35">
      <c r="D2"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A97B2C-7C32-46F6-A214-CF30D6C9CE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Column_Chart</vt:lpstr>
      <vt:lpstr>Line_Chart</vt:lpstr>
      <vt:lpstr>Pie_Chart</vt:lpstr>
      <vt:lpstr>Bar_Chart</vt:lpstr>
      <vt:lpstr>Stacked_Column</vt:lpstr>
      <vt:lpstr>KPI_GPA</vt:lpstr>
      <vt:lpstr>KPI_SSC</vt:lpstr>
      <vt:lpstr>bangladesh_student_performance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Saptha MN</dc:creator>
  <cp:lastModifiedBy>Saptha MN</cp:lastModifiedBy>
  <dcterms:created xsi:type="dcterms:W3CDTF">2026-04-13T07:06:23Z</dcterms:created>
  <dcterms:modified xsi:type="dcterms:W3CDTF">2026-05-09T15:09:41Z</dcterms:modified>
</cp:coreProperties>
</file>